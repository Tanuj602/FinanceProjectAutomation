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tanujmangalam/Downloads/FinancialPlanner/"/>
    </mc:Choice>
  </mc:AlternateContent>
  <xr:revisionPtr revIDLastSave="0" documentId="13_ncr:1_{1B57CA3A-BA10-BC4B-A491-52406C16B498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Pivot" sheetId="2" r:id="rId1"/>
    <sheet name="Consodilated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<sst xmlns="http://schemas.openxmlformats.org/spreadsheetml/2006/main" count="391" uniqueCount="168">
  <si>
    <t>Account Name</t>
  </si>
  <si>
    <t>Symbol</t>
  </si>
  <si>
    <t>Asset Name</t>
  </si>
  <si>
    <t>Price</t>
  </si>
  <si>
    <t>Quantity</t>
  </si>
  <si>
    <t>$ Unrealized gain/loss</t>
  </si>
  <si>
    <t>Cost Basis</t>
  </si>
  <si>
    <t>Current Balance</t>
  </si>
  <si>
    <t>Saving Invested Dow</t>
  </si>
  <si>
    <t>VFIAX</t>
  </si>
  <si>
    <t>VANGUARD 500 INDEX FUND</t>
  </si>
  <si>
    <t>VTSAX</t>
  </si>
  <si>
    <t>VANGUARD TOTAL STOCK MARKET</t>
  </si>
  <si>
    <t>VGT</t>
  </si>
  <si>
    <t>VANGUARD INFORMATION TECH ETF</t>
  </si>
  <si>
    <t>FELIX</t>
  </si>
  <si>
    <t>FIDELITY ADVISOR SERIES</t>
  </si>
  <si>
    <t>VIGAX</t>
  </si>
  <si>
    <t>VANGUARD GROWTH INDEX</t>
  </si>
  <si>
    <t>VIMAX</t>
  </si>
  <si>
    <t>VANGUARD MID CAP INDEX</t>
  </si>
  <si>
    <t>VHT</t>
  </si>
  <si>
    <t>VANGUARD HEALTH CARE ETF</t>
  </si>
  <si>
    <t>CASH</t>
  </si>
  <si>
    <t>Vanguard Federal Settlement Fund</t>
  </si>
  <si>
    <t>MGK</t>
  </si>
  <si>
    <t>VANGUARD MEGA CAP GROWTH ETF</t>
  </si>
  <si>
    <t>VYM</t>
  </si>
  <si>
    <t>VANGUARD HIGH DIVIDEND YIELD ETF</t>
  </si>
  <si>
    <t>SCHD</t>
  </si>
  <si>
    <t>SCHWAB US DIVIDEND EQUITY ETF</t>
  </si>
  <si>
    <t>TSLA</t>
  </si>
  <si>
    <t>TESLA INC</t>
  </si>
  <si>
    <t>AAPL</t>
  </si>
  <si>
    <t>APPLE INC</t>
  </si>
  <si>
    <t>VCR</t>
  </si>
  <si>
    <t>VANGUARD CONSUMER DISCRETIONARY ETF</t>
  </si>
  <si>
    <t>VOO</t>
  </si>
  <si>
    <t>VANGUARD S&amp;P 500 ETF</t>
  </si>
  <si>
    <t>Saving Invested CTVA and Raheja Nest</t>
  </si>
  <si>
    <t>VXUS</t>
  </si>
  <si>
    <t>VANGUARD TOTAL INTERNATIONAL STOCK ETF</t>
  </si>
  <si>
    <t>VT</t>
  </si>
  <si>
    <t>VANGUARD TOTAL WORLD STOCK ETF</t>
  </si>
  <si>
    <t>VDEQX</t>
  </si>
  <si>
    <t>VANGUARD DIVERSIFIED EQUITY FUND</t>
  </si>
  <si>
    <t>CTVA 401 K</t>
  </si>
  <si>
    <t>DDLEI</t>
  </si>
  <si>
    <t>LARGE CAP STOCK INDEX FUND</t>
  </si>
  <si>
    <t>21J36109</t>
  </si>
  <si>
    <t>SELF-DIRECT ACCT 21J36109</t>
  </si>
  <si>
    <t>TRF30</t>
  </si>
  <si>
    <t>TARGET RETIREMENT 2030 FUND</t>
  </si>
  <si>
    <t>DDLAF</t>
  </si>
  <si>
    <t>LARGE CAP EQUITY FUND</t>
  </si>
  <si>
    <t>Fidelity Investments - Individual - TOD</t>
  </si>
  <si>
    <t>FXAIX</t>
  </si>
  <si>
    <t>FIDELITY 500 INDEX</t>
  </si>
  <si>
    <t>VANGUARD TOTAL INTL</t>
  </si>
  <si>
    <t>NVDA</t>
  </si>
  <si>
    <t>NVIDIA CORP</t>
  </si>
  <si>
    <t>SCHWAB US DIVIDEND</t>
  </si>
  <si>
    <t>FSELX</t>
  </si>
  <si>
    <t>FIDELITY SELECT SEMI</t>
  </si>
  <si>
    <t>SMH</t>
  </si>
  <si>
    <t>VANECK SEMICONDUCTOR</t>
  </si>
  <si>
    <t>QTUM</t>
  </si>
  <si>
    <t>DEFIANCE QUANTUM ETF</t>
  </si>
  <si>
    <t>FTEC</t>
  </si>
  <si>
    <t>FIDELITY MSCI INFO TECH</t>
  </si>
  <si>
    <t>SPAXX</t>
  </si>
  <si>
    <t>HELD IN MONEY MARKET</t>
  </si>
  <si>
    <t>Dow IRA</t>
  </si>
  <si>
    <t>VMGMX</t>
  </si>
  <si>
    <t>VANGUARD MID CAP GROWTH INDEX</t>
  </si>
  <si>
    <t>Raheja Nest 501 Cash in Bond</t>
  </si>
  <si>
    <t>VMRXX</t>
  </si>
  <si>
    <t>VANGUARD CASH RESERVES FED MMKT</t>
  </si>
  <si>
    <t>SWEEP</t>
  </si>
  <si>
    <t>Vanguard Cash Plus Bank Sweep</t>
  </si>
  <si>
    <t>LIC Superannuation India</t>
  </si>
  <si>
    <t>LIC</t>
  </si>
  <si>
    <t>LIC Superannuation Asset Base India</t>
  </si>
  <si>
    <t>Treasury Bond Bills</t>
  </si>
  <si>
    <t>T-BILL</t>
  </si>
  <si>
    <t>Treasury Bill Short Maturity</t>
  </si>
  <si>
    <t>TIPS</t>
  </si>
  <si>
    <t>TIPS Treasury Inflation Protection</t>
  </si>
  <si>
    <t>PNC</t>
  </si>
  <si>
    <t>PNC Strategic Deposit Placement</t>
  </si>
  <si>
    <t>CTVA RSRP</t>
  </si>
  <si>
    <t>CSMIF</t>
  </si>
  <si>
    <t>SMALL-MID CAP STOCK INDEX</t>
  </si>
  <si>
    <t>SBI PBB FD</t>
  </si>
  <si>
    <t>SBI Liquid Primary Cash Deposit</t>
  </si>
  <si>
    <t>CRYPTO</t>
  </si>
  <si>
    <t>SBI Core Crypto Allocation Reserve</t>
  </si>
  <si>
    <t>CTVA HSA</t>
  </si>
  <si>
    <t>CTVA HSA Liquidity Account</t>
  </si>
  <si>
    <t>Chase Investment - Self-Directed</t>
  </si>
  <si>
    <t>VUSXX</t>
  </si>
  <si>
    <t>VANGUARD TREASURY MONEY MARKET FUND</t>
  </si>
  <si>
    <t>VANGUARD 500 INDEX TR INDEX</t>
  </si>
  <si>
    <t>JEPQ</t>
  </si>
  <si>
    <t>JPM NASDAQ EQUITY PREMIUM INCOME ETF</t>
  </si>
  <si>
    <t>Chase Bank Swept Cash Portfolio</t>
  </si>
  <si>
    <t>Dow Roth</t>
  </si>
  <si>
    <t>CTVA Restricted Stock Released</t>
  </si>
  <si>
    <t>CTVA</t>
  </si>
  <si>
    <t>CORTEVA INC REG SHS</t>
  </si>
  <si>
    <t>DD</t>
  </si>
  <si>
    <t>DUPONT DE NEMOURS INC</t>
  </si>
  <si>
    <t>Unallocated Released Residual Cash</t>
  </si>
  <si>
    <t>Robinhood - Robinhood individual</t>
  </si>
  <si>
    <t>BRK.B</t>
  </si>
  <si>
    <t>BERKSHIRE HATHAWAY Class B</t>
  </si>
  <si>
    <t>NVIDIA Corporation Common Stock</t>
  </si>
  <si>
    <t>DOW</t>
  </si>
  <si>
    <t>Dow Inc.</t>
  </si>
  <si>
    <t>Robinhood Settled Cash Balance</t>
  </si>
  <si>
    <t>XYZ</t>
  </si>
  <si>
    <t>Block, Inc.</t>
  </si>
  <si>
    <t>VKTX</t>
  </si>
  <si>
    <t>Viking Therapeutics, Inc. Common</t>
  </si>
  <si>
    <t>PGRP</t>
  </si>
  <si>
    <t>Pattern Group Inc. Series A Common</t>
  </si>
  <si>
    <t>Dow Deferred</t>
  </si>
  <si>
    <t>FCON_POOL</t>
  </si>
  <si>
    <t>FID CONTRA POOL</t>
  </si>
  <si>
    <t>Chase Bank - PREMIER PLUS CKG</t>
  </si>
  <si>
    <t>CKG</t>
  </si>
  <si>
    <t>Chase Premier Plus Checking Balance</t>
  </si>
  <si>
    <t>Merrill Lynch HSA Cash Account 509</t>
  </si>
  <si>
    <t>HSA_CASH</t>
  </si>
  <si>
    <t>HSA Cash Custody Balance</t>
  </si>
  <si>
    <t>Merrill Lynch HSA Cash Account 732</t>
  </si>
  <si>
    <t>HSA Secondary Liquid Account</t>
  </si>
  <si>
    <t>CollegeChoice Advisor 529 Savings Plan</t>
  </si>
  <si>
    <t>LC_IDX</t>
  </si>
  <si>
    <t>Large Cap Index Portfolio Class C</t>
  </si>
  <si>
    <t>TRP_LCG</t>
  </si>
  <si>
    <t>T Rowe Price Large Cap Growth C</t>
  </si>
  <si>
    <t>DMND_HILL</t>
  </si>
  <si>
    <t>Diamond Hill Small-Mid Cap Portfolio C</t>
  </si>
  <si>
    <t>Fidelity Investments - JOINT(Option Trading)</t>
  </si>
  <si>
    <t>TQQQ</t>
  </si>
  <si>
    <t>PROSHARES ULTRA QQQ 3X</t>
  </si>
  <si>
    <t>Robinhood Crypto</t>
  </si>
  <si>
    <t>ETH</t>
  </si>
  <si>
    <t>Ethereum</t>
  </si>
  <si>
    <t>USDC</t>
  </si>
  <si>
    <t>USD Coin Token Balance</t>
  </si>
  <si>
    <t>Fidelity Investments - Trust: Under Agreement</t>
  </si>
  <si>
    <t>FDRXX</t>
  </si>
  <si>
    <t>FID GOV CSH RSRV</t>
  </si>
  <si>
    <t>FCASH</t>
  </si>
  <si>
    <t>HELD IN FCASH</t>
  </si>
  <si>
    <t>(blank)</t>
  </si>
  <si>
    <t>Grand Total</t>
  </si>
  <si>
    <t>Sum of Price</t>
  </si>
  <si>
    <t>Sum of Quantity</t>
  </si>
  <si>
    <t>Sum of $ Unrealized gain/loss</t>
  </si>
  <si>
    <t>Sum of Cost Basis</t>
  </si>
  <si>
    <t>Sum of Current Balance</t>
  </si>
  <si>
    <t>Sum of MarginPercentage</t>
  </si>
  <si>
    <t>// Take out all these tickers and intract current prices</t>
  </si>
  <si>
    <t>// Fetch Yield</t>
  </si>
  <si>
    <t>//Beta - how shares move compared to sp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</si>
</sst>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[Red]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j Mangalam" refreshedDate="46168.797566435183" createdVersion="8" refreshedVersion="8" minRefreshableVersion="3" recordCount="88" xr:uid="{59AADD5E-7A44-FE41-9E88-EC72093AEAA8}">
  <cacheSource type="worksheet">
    <worksheetSource ref="A1:H1048576" sheet="Consodilated"/>
  </cacheSource>
  <cacheFields count="9">
    <cacheField name="Account Name" numFmtId="0">
      <sharedItems containsBlank="1" count="24">
        <s v="Saving Invested Dow"/>
        <s v="Saving Invested CTVA and Raheja Nest"/>
        <s v="CTVA 401 K"/>
        <s v="Fidelity Investments - Individual - TOD"/>
        <s v="Dow IRA"/>
        <s v="Raheja Nest 501 Cash in Bond"/>
        <s v="LIC Superannuation India"/>
        <s v="Treasury Bond Bills"/>
        <s v="CTVA RSRP"/>
        <s v="SBI PBB FD"/>
        <s v="CTVA HSA"/>
        <s v="Chase Investment - Self-Directed"/>
        <s v="Dow Roth"/>
        <s v="CTVA Restricted Stock Released"/>
        <s v="Robinhood - Robinhood individual"/>
        <s v="Dow Deferred"/>
        <s v="Chase Bank - PREMIER PLUS CKG"/>
        <s v="Merrill Lynch HSA Cash Account 509"/>
        <s v="Merrill Lynch HSA Cash Account 732"/>
        <s v="CollegeChoice Advisor 529 Savings Plan"/>
        <s v="Fidelity Investments - JOINT(Option Trading)"/>
        <s v="Robinhood Crypto"/>
        <s v="Fidelity Investments - Trust: Under Agreement"/>
        <m/>
      </sharedItems>
    </cacheField>
    <cacheField name="Symbol" numFmtId="0">
      <sharedItems containsBlank="1" count="59">
        <s v="VFIAX"/>
        <s v="VTSAX"/>
        <s v="VGT"/>
        <s v="FELIX"/>
        <s v="VIGAX"/>
        <s v="VIMAX"/>
        <s v="VHT"/>
        <s v="CASH"/>
        <s v="MGK"/>
        <s v="VYM"/>
        <s v="SCHD"/>
        <s v="TSLA"/>
        <s v="AAPL"/>
        <s v="VCR"/>
        <s v="VOO"/>
        <s v="VXUS"/>
        <s v="VT"/>
        <s v="VDEQX"/>
        <s v="DDLEI"/>
        <s v="21J36109"/>
        <s v="TRF30"/>
        <s v="DDLAF"/>
        <s v="FXAIX"/>
        <s v="NVDA"/>
        <s v="FSELX"/>
        <s v="SMH"/>
        <s v="QTUM"/>
        <s v="FTEC"/>
        <s v="SPAXX"/>
        <s v="VMGMX"/>
        <s v="VMRXX"/>
        <s v="SWEEP"/>
        <s v="LIC"/>
        <s v="T-BILL"/>
        <s v="TIPS"/>
        <s v="PNC"/>
        <s v="CSMIF"/>
        <s v="CRYPTO"/>
        <s v="VUSXX"/>
        <s v="JEPQ"/>
        <s v="CTVA"/>
        <s v="DD"/>
        <s v="BRK.B"/>
        <s v="DOW"/>
        <s v="XYZ"/>
        <s v="VKTX"/>
        <s v="PGRP"/>
        <s v="FCON_POOL"/>
        <s v="CKG"/>
        <s v="HSA_CASH"/>
        <s v="LC_IDX"/>
        <s v="TRP_LCG"/>
        <s v="DMND_HILL"/>
        <s v="TQQQ"/>
        <s v="ETH"/>
        <s v="USDC"/>
        <s v="FDRXX"/>
        <s v="FCASH"/>
        <m/>
      </sharedItems>
    </cacheField>
    <cacheField name="Asset Name" numFmtId="0">
      <sharedItems containsBlank="1" count="69">
        <s v="VANGUARD 500 INDEX FUND"/>
        <s v="VANGUARD TOTAL STOCK MARKET"/>
        <s v="VANGUARD INFORMATION TECH ETF"/>
        <s v="FIDELITY ADVISOR SERIES"/>
        <s v="VANGUARD GROWTH INDEX"/>
        <s v="VANGUARD MID CAP INDEX"/>
        <s v="VANGUARD HEALTH CARE ETF"/>
        <s v="Vanguard Federal Settlement Fund"/>
        <s v="VANGUARD MEGA CAP GROWTH ETF"/>
        <s v="VANGUARD HIGH DIVIDEND YIELD ETF"/>
        <s v="SCHWAB US DIVIDEND EQUITY ETF"/>
        <s v="TESLA INC"/>
        <s v="APPLE INC"/>
        <s v="VANGUARD CONSUMER DISCRETIONARY ETF"/>
        <s v="VANGUARD S&amp;P 500 ETF"/>
        <s v="VANGUARD TOTAL INTERNATIONAL STOCK ETF"/>
        <s v="VANGUARD TOTAL WORLD STOCK ETF"/>
        <s v="VANGUARD DIVERSIFIED EQUITY FUND"/>
        <s v="LARGE CAP STOCK INDEX FUND"/>
        <s v="SELF-DIRECT ACCT 21J36109"/>
        <s v="TARGET RETIREMENT 2030 FUND"/>
        <s v="LARGE CAP EQUITY FUND"/>
        <s v="FIDELITY 500 INDEX"/>
        <s v="VANGUARD TOTAL INTL"/>
        <s v="NVIDIA CORP"/>
        <s v="SCHWAB US DIVIDEND"/>
        <s v="FIDELITY SELECT SEMI"/>
        <s v="VANECK SEMICONDUCTOR"/>
        <s v="DEFIANCE QUANTUM ETF"/>
        <s v="FIDELITY MSCI INFO TECH"/>
        <s v="HELD IN MONEY MARKET"/>
        <s v="VANGUARD MID CAP GROWTH INDEX"/>
        <s v="VANGUARD CASH RESERVES FED MMKT"/>
        <s v="Vanguard Cash Plus Bank Sweep"/>
        <s v="LIC Superannuation Asset Base India"/>
        <s v="Treasury Bill Short Maturity"/>
        <s v="TIPS Treasury Inflation Protection"/>
        <s v="PNC Strategic Deposit Placement"/>
        <s v="SMALL-MID CAP STOCK INDEX"/>
        <s v="SBI Liquid Primary Cash Deposit"/>
        <s v="SBI Core Crypto Allocation Reserve"/>
        <s v="CTVA HSA Liquidity Account"/>
        <s v="VANGUARD TREASURY MONEY MARKET FUND"/>
        <s v="VANGUARD 500 INDEX TR INDEX"/>
        <s v="JPM NASDAQ EQUITY PREMIUM INCOME ETF"/>
        <s v="Chase Bank Swept Cash Portfolio"/>
        <s v="CORTEVA INC REG SHS"/>
        <s v="DUPONT DE NEMOURS INC"/>
        <s v="Unallocated Released Residual Cash"/>
        <s v="BERKSHIRE HATHAWAY Class B"/>
        <s v="NVIDIA Corporation Common Stock"/>
        <s v="Dow Inc."/>
        <s v="Robinhood Settled Cash Balance"/>
        <s v="Block, Inc."/>
        <s v="Viking Therapeutics, Inc. Common"/>
        <s v="Pattern Group Inc. Series A Common"/>
        <s v="FID CONTRA POOL"/>
        <s v="Chase Premier Plus Checking Balance"/>
        <s v="HSA Cash Custody Balance"/>
        <s v="HSA Secondary Liquid Account"/>
        <s v="Large Cap Index Portfolio Class C"/>
        <s v="T Rowe Price Large Cap Growth C"/>
        <s v="Diamond Hill Small-Mid Cap Portfolio C"/>
        <s v="PROSHARES ULTRA QQQ 3X"/>
        <s v="Ethereum"/>
        <s v="USD Coin Token Balance"/>
        <s v="FID GOV CSH RSRV"/>
        <s v="HELD IN FCASH"/>
        <m/>
      </sharedItems>
    </cacheField>
    <cacheField name="Price" numFmtId="0">
      <sharedItems containsString="0" containsBlank="1" containsNumber="1" minValue="1" maxValue="2392.5"/>
    </cacheField>
    <cacheField name="Quantity" numFmtId="0">
      <sharedItems containsString="0" containsBlank="1" containsNumber="1" minValue="1.2E-2" maxValue="213631.55"/>
    </cacheField>
    <cacheField name="$ Unrealized gain/loss" numFmtId="43">
      <sharedItems containsString="0" containsBlank="1" containsNumber="1" minValue="-1436" maxValue="199728.12"/>
    </cacheField>
    <cacheField name="Cost Basis" numFmtId="43">
      <sharedItems containsString="0" containsBlank="1" containsNumber="1" minValue="0.38" maxValue="221682.64"/>
    </cacheField>
    <cacheField name="Current Balance" numFmtId="43">
      <sharedItems containsString="0" containsBlank="1" containsNumber="1" minValue="0.38" maxValue="350112.5"/>
    </cacheField>
    <cacheField name="MarginPercentage" numFmtId="0" formula="'$ Unrealized gain/loss'/'Current Balanc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x v="0"/>
    <n v="657.92"/>
    <n v="465.79500000000002"/>
    <n v="199728.12"/>
    <n v="106727.73"/>
    <n v="306455.84999999998"/>
  </r>
  <r>
    <x v="0"/>
    <x v="1"/>
    <x v="1"/>
    <n v="170.66"/>
    <n v="1684.6369999999999"/>
    <n v="176226.71"/>
    <n v="111273.44"/>
    <n v="287500.15000000002"/>
  </r>
  <r>
    <x v="0"/>
    <x v="2"/>
    <x v="2"/>
    <n v="805.58"/>
    <n v="338.91300000000001"/>
    <n v="176274.14"/>
    <n v="96747.07"/>
    <n v="273021.21000000002"/>
  </r>
  <r>
    <x v="0"/>
    <x v="3"/>
    <x v="3"/>
    <n v="165.01"/>
    <n v="1600.2819999999999"/>
    <n v="180208.59"/>
    <n v="83853.940000000031"/>
    <n v="264062.53000000003"/>
  </r>
  <r>
    <x v="0"/>
    <x v="4"/>
    <x v="4"/>
    <n v="254.27"/>
    <n v="1008.585"/>
    <n v="145309.54"/>
    <n v="111143.37"/>
    <n v="256452.91"/>
  </r>
  <r>
    <x v="0"/>
    <x v="5"/>
    <x v="5"/>
    <n v="380.25"/>
    <n v="314.36"/>
    <n v="62272.56"/>
    <n v="57262.83"/>
    <n v="119535.39"/>
  </r>
  <r>
    <x v="0"/>
    <x v="6"/>
    <x v="6"/>
    <n v="278.45"/>
    <n v="367.98"/>
    <n v="50073.57"/>
    <n v="52390.49"/>
    <n v="102464.06"/>
  </r>
  <r>
    <x v="0"/>
    <x v="7"/>
    <x v="7"/>
    <n v="1"/>
    <n v="100000.6"/>
    <n v="0"/>
    <n v="100000.6"/>
    <n v="100000.6"/>
  </r>
  <r>
    <x v="0"/>
    <x v="8"/>
    <x v="8"/>
    <n v="415.92"/>
    <n v="187.499"/>
    <n v="17544.330000000002"/>
    <n v="60440.38"/>
    <n v="77984.710000000006"/>
  </r>
  <r>
    <x v="0"/>
    <x v="9"/>
    <x v="9"/>
    <n v="155.11000000000001"/>
    <n v="420.923"/>
    <n v="3480.83"/>
    <n v="61808.46"/>
    <n v="65289.29"/>
  </r>
  <r>
    <x v="0"/>
    <x v="10"/>
    <x v="10"/>
    <n v="31.05"/>
    <n v="1625"/>
    <n v="487.65"/>
    <n v="49968.6"/>
    <n v="50456.25"/>
  </r>
  <r>
    <x v="0"/>
    <x v="11"/>
    <x v="11"/>
    <n v="400.62"/>
    <n v="105"/>
    <n v="32013.69"/>
    <n v="10051.41"/>
    <n v="42065.1"/>
  </r>
  <r>
    <x v="0"/>
    <x v="12"/>
    <x v="12"/>
    <n v="270.23"/>
    <n v="119.492"/>
    <n v="23563.46"/>
    <n v="8726.86"/>
    <n v="32290.32"/>
  </r>
  <r>
    <x v="0"/>
    <x v="13"/>
    <x v="13"/>
    <n v="398.59"/>
    <n v="68.808999999999997"/>
    <n v="1131.02"/>
    <n v="26295.64"/>
    <n v="27426.66"/>
  </r>
  <r>
    <x v="0"/>
    <x v="14"/>
    <x v="14"/>
    <n v="652.78"/>
    <n v="20.247"/>
    <n v="2686.39"/>
    <n v="10530.45"/>
    <n v="13216.84"/>
  </r>
  <r>
    <x v="1"/>
    <x v="0"/>
    <x v="0"/>
    <n v="657.92"/>
    <n v="458.70299999999997"/>
    <n v="114272.41"/>
    <n v="187517.47"/>
    <n v="301789.88"/>
  </r>
  <r>
    <x v="1"/>
    <x v="14"/>
    <x v="14"/>
    <n v="652.78"/>
    <n v="238.02600000000001"/>
    <n v="6472.2"/>
    <n v="148906.54"/>
    <n v="155378.74"/>
  </r>
  <r>
    <x v="1"/>
    <x v="1"/>
    <x v="1"/>
    <n v="170.66"/>
    <n v="876.82299999999998"/>
    <n v="52572.67"/>
    <n v="97065.939999999988"/>
    <n v="149638.60999999999"/>
  </r>
  <r>
    <x v="1"/>
    <x v="15"/>
    <x v="15"/>
    <n v="83.75"/>
    <n v="945.43399999999997"/>
    <n v="6044.35"/>
    <n v="73135.709999999992"/>
    <n v="79180.06"/>
  </r>
  <r>
    <x v="1"/>
    <x v="16"/>
    <x v="16"/>
    <n v="150.84"/>
    <n v="470.03300000000002"/>
    <n v="2510.92"/>
    <n v="68388.81"/>
    <n v="70899.73"/>
  </r>
  <r>
    <x v="1"/>
    <x v="4"/>
    <x v="4"/>
    <n v="254.27"/>
    <n v="242.59"/>
    <n v="24142.12"/>
    <n v="37541.240000000013"/>
    <n v="61683.360000000001"/>
  </r>
  <r>
    <x v="1"/>
    <x v="7"/>
    <x v="7"/>
    <n v="1"/>
    <n v="50054.78"/>
    <n v="0"/>
    <n v="50054.78"/>
    <n v="50054.78"/>
  </r>
  <r>
    <x v="1"/>
    <x v="9"/>
    <x v="9"/>
    <n v="155.11000000000001"/>
    <n v="296.17399999999998"/>
    <n v="939.56"/>
    <n v="44999.990000000013"/>
    <n v="45939.55"/>
  </r>
  <r>
    <x v="1"/>
    <x v="10"/>
    <x v="10"/>
    <n v="31.05"/>
    <n v="1477"/>
    <n v="588.86"/>
    <n v="45271.99"/>
    <n v="45860.85"/>
  </r>
  <r>
    <x v="1"/>
    <x v="17"/>
    <x v="17"/>
    <n v="55.25"/>
    <n v="563.29899999999998"/>
    <n v="6043.14"/>
    <n v="25079.13"/>
    <n v="31122.27"/>
  </r>
  <r>
    <x v="2"/>
    <x v="18"/>
    <x v="18"/>
    <n v="73.92"/>
    <n v="4736.4669999999996"/>
    <n v="128429.86"/>
    <n v="221682.64"/>
    <n v="350112.5"/>
  </r>
  <r>
    <x v="2"/>
    <x v="19"/>
    <x v="19"/>
    <n v="1"/>
    <n v="213631.55"/>
    <n v="0"/>
    <n v="213631.55"/>
    <n v="213631.55"/>
  </r>
  <r>
    <x v="2"/>
    <x v="20"/>
    <x v="20"/>
    <n v="38.770000000000003"/>
    <n v="5307.7610000000004"/>
    <n v="50081.97"/>
    <n v="155694.1"/>
    <n v="205776.07"/>
  </r>
  <r>
    <x v="2"/>
    <x v="21"/>
    <x v="21"/>
    <n v="76.23"/>
    <n v="19.385000000000002"/>
    <n v="59.240000000000009"/>
    <n v="1418.45"/>
    <n v="1477.69"/>
  </r>
  <r>
    <x v="3"/>
    <x v="22"/>
    <x v="22"/>
    <n v="249.33"/>
    <n v="526.80999999999995"/>
    <n v="46862.54"/>
    <n v="84486.99"/>
    <n v="131349.53"/>
  </r>
  <r>
    <x v="3"/>
    <x v="15"/>
    <x v="23"/>
    <n v="82.34"/>
    <n v="937.84699999999998"/>
    <n v="4975.93"/>
    <n v="72246.39"/>
    <n v="77222.320000000007"/>
  </r>
  <r>
    <x v="3"/>
    <x v="11"/>
    <x v="11"/>
    <n v="378.67"/>
    <n v="190"/>
    <n v="27963.5"/>
    <n v="43983.8"/>
    <n v="71947.3"/>
  </r>
  <r>
    <x v="3"/>
    <x v="23"/>
    <x v="24"/>
    <n v="216.61"/>
    <n v="253.87899999999999"/>
    <n v="36585.33"/>
    <n v="18407.400000000001"/>
    <n v="54992.73"/>
  </r>
  <r>
    <x v="3"/>
    <x v="10"/>
    <x v="25"/>
    <n v="31.13"/>
    <n v="1681.883"/>
    <n v="714.57"/>
    <n v="51642.44"/>
    <n v="52357.01"/>
  </r>
  <r>
    <x v="3"/>
    <x v="24"/>
    <x v="26"/>
    <n v="57.5"/>
    <n v="637.21799999999996"/>
    <n v="16969.75"/>
    <n v="19670.28"/>
    <n v="36640.03"/>
  </r>
  <r>
    <x v="3"/>
    <x v="12"/>
    <x v="12"/>
    <n v="267.61"/>
    <n v="100.926"/>
    <n v="10288.709999999999"/>
    <n v="16720.09"/>
    <n v="27008.799999999999"/>
  </r>
  <r>
    <x v="3"/>
    <x v="25"/>
    <x v="27"/>
    <n v="506.26"/>
    <n v="36.466999999999999"/>
    <n v="8544.11"/>
    <n v="9917.67"/>
    <n v="18461.78"/>
  </r>
  <r>
    <x v="3"/>
    <x v="26"/>
    <x v="28"/>
    <n v="131.88999999999999"/>
    <n v="122.17"/>
    <n v="5437.49"/>
    <n v="10675.51"/>
    <n v="16113"/>
  </r>
  <r>
    <x v="3"/>
    <x v="27"/>
    <x v="29"/>
    <n v="248.85"/>
    <n v="59.395000000000003"/>
    <n v="4716.66"/>
    <n v="10063.780000000001"/>
    <n v="14780.44"/>
  </r>
  <r>
    <x v="3"/>
    <x v="28"/>
    <x v="30"/>
    <n v="1"/>
    <n v="64.33"/>
    <n v="0"/>
    <n v="64.33"/>
    <n v="64.33"/>
  </r>
  <r>
    <x v="4"/>
    <x v="0"/>
    <x v="0"/>
    <n v="657.92"/>
    <n v="203.79599999999999"/>
    <n v="75756.7"/>
    <n v="58324.759999999987"/>
    <n v="134081.46"/>
  </r>
  <r>
    <x v="4"/>
    <x v="4"/>
    <x v="4"/>
    <n v="254.27"/>
    <n v="473.25400000000002"/>
    <n v="57320.45"/>
    <n v="63013.84"/>
    <n v="120334.29"/>
  </r>
  <r>
    <x v="4"/>
    <x v="1"/>
    <x v="1"/>
    <n v="170.66"/>
    <n v="687.14599999999996"/>
    <n v="64886.39"/>
    <n v="52381.95"/>
    <n v="117268.34"/>
  </r>
  <r>
    <x v="4"/>
    <x v="5"/>
    <x v="5"/>
    <n v="380.25"/>
    <n v="145.38300000000001"/>
    <n v="24248.34"/>
    <n v="31033.55"/>
    <n v="55281.89"/>
  </r>
  <r>
    <x v="4"/>
    <x v="29"/>
    <x v="31"/>
    <n v="122.12"/>
    <n v="336.09500000000003"/>
    <n v="14850.97"/>
    <n v="26192.95"/>
    <n v="41043.919999999998"/>
  </r>
  <r>
    <x v="4"/>
    <x v="7"/>
    <x v="7"/>
    <n v="1"/>
    <n v="14.7"/>
    <n v="0"/>
    <n v="14.7"/>
    <n v="14.7"/>
  </r>
  <r>
    <x v="5"/>
    <x v="30"/>
    <x v="32"/>
    <n v="1"/>
    <n v="200120.16"/>
    <n v="0"/>
    <n v="200120.16"/>
    <n v="200120.16"/>
  </r>
  <r>
    <x v="5"/>
    <x v="31"/>
    <x v="33"/>
    <n v="1"/>
    <n v="100019.49"/>
    <n v="0"/>
    <n v="100019.49"/>
    <n v="100019.49"/>
  </r>
  <r>
    <x v="6"/>
    <x v="32"/>
    <x v="34"/>
    <n v="1"/>
    <n v="193000"/>
    <n v="0"/>
    <n v="193000"/>
    <n v="193000"/>
  </r>
  <r>
    <x v="7"/>
    <x v="33"/>
    <x v="35"/>
    <n v="1"/>
    <n v="80000"/>
    <n v="0"/>
    <n v="80000"/>
    <n v="80000"/>
  </r>
  <r>
    <x v="7"/>
    <x v="34"/>
    <x v="36"/>
    <n v="1"/>
    <n v="22000"/>
    <n v="2000"/>
    <n v="20000"/>
    <n v="22000"/>
  </r>
  <r>
    <x v="7"/>
    <x v="35"/>
    <x v="37"/>
    <n v="1"/>
    <n v="15000"/>
    <n v="0"/>
    <n v="15000"/>
    <n v="15000"/>
  </r>
  <r>
    <x v="8"/>
    <x v="18"/>
    <x v="18"/>
    <n v="73.92"/>
    <n v="767.22199999999998"/>
    <n v="0"/>
    <n v="56711.87"/>
    <n v="56711.87"/>
  </r>
  <r>
    <x v="8"/>
    <x v="21"/>
    <x v="21"/>
    <n v="76.23"/>
    <n v="255.62299999999999"/>
    <n v="0"/>
    <n v="19485.830000000002"/>
    <n v="19485.830000000002"/>
  </r>
  <r>
    <x v="8"/>
    <x v="36"/>
    <x v="38"/>
    <n v="52.2"/>
    <n v="190.47200000000001"/>
    <n v="0"/>
    <n v="9943.36"/>
    <n v="9943.36"/>
  </r>
  <r>
    <x v="8"/>
    <x v="20"/>
    <x v="20"/>
    <n v="38.770000000000003"/>
    <n v="207.59399999999999"/>
    <n v="0"/>
    <n v="8048.2"/>
    <n v="8048.2"/>
  </r>
  <r>
    <x v="9"/>
    <x v="7"/>
    <x v="39"/>
    <n v="1"/>
    <n v="70333"/>
    <n v="0"/>
    <n v="70333"/>
    <n v="70333"/>
  </r>
  <r>
    <x v="9"/>
    <x v="37"/>
    <x v="40"/>
    <n v="1"/>
    <n v="16564"/>
    <n v="-1436"/>
    <n v="18000"/>
    <n v="16564"/>
  </r>
  <r>
    <x v="10"/>
    <x v="7"/>
    <x v="41"/>
    <n v="1"/>
    <n v="80891.740000000005"/>
    <n v="0"/>
    <n v="80891.740000000005"/>
    <n v="80891.740000000005"/>
  </r>
  <r>
    <x v="11"/>
    <x v="38"/>
    <x v="42"/>
    <n v="1"/>
    <n v="70343.490000000005"/>
    <n v="0"/>
    <n v="70343.490000000005"/>
    <n v="70343.490000000005"/>
  </r>
  <r>
    <x v="11"/>
    <x v="0"/>
    <x v="43"/>
    <n v="657.92"/>
    <n v="1.145"/>
    <n v="0"/>
    <n v="753.32"/>
    <n v="753.32"/>
  </r>
  <r>
    <x v="11"/>
    <x v="39"/>
    <x v="44"/>
    <n v="58.66"/>
    <n v="0.93400000000000005"/>
    <n v="0"/>
    <n v="54.79"/>
    <n v="54.79"/>
  </r>
  <r>
    <x v="11"/>
    <x v="7"/>
    <x v="45"/>
    <n v="1"/>
    <n v="0.82"/>
    <n v="0"/>
    <n v="0.82"/>
    <n v="0.82"/>
  </r>
  <r>
    <x v="12"/>
    <x v="7"/>
    <x v="7"/>
    <n v="1"/>
    <n v="68549.100000000006"/>
    <n v="0"/>
    <n v="68549.100000000006"/>
    <n v="68549.100000000006"/>
  </r>
  <r>
    <x v="13"/>
    <x v="40"/>
    <x v="46"/>
    <n v="81.16"/>
    <n v="144.11699999999999"/>
    <n v="0"/>
    <n v="11696.5"/>
    <n v="11696.5"/>
  </r>
  <r>
    <x v="13"/>
    <x v="41"/>
    <x v="47"/>
    <n v="46.75"/>
    <n v="232"/>
    <n v="0"/>
    <n v="10846"/>
    <n v="10846"/>
  </r>
  <r>
    <x v="13"/>
    <x v="7"/>
    <x v="48"/>
    <n v="1"/>
    <n v="360.56"/>
    <n v="0"/>
    <n v="360.56"/>
    <n v="360.56"/>
  </r>
  <r>
    <x v="14"/>
    <x v="42"/>
    <x v="49"/>
    <n v="474.42"/>
    <n v="23.138999999999999"/>
    <n v="0"/>
    <n v="10977.71"/>
    <n v="10977.71"/>
  </r>
  <r>
    <x v="14"/>
    <x v="23"/>
    <x v="50"/>
    <n v="201.65"/>
    <n v="10.712999999999999"/>
    <n v="0"/>
    <n v="2160.25"/>
    <n v="2160.25"/>
  </r>
  <r>
    <x v="14"/>
    <x v="43"/>
    <x v="51"/>
    <n v="35.6"/>
    <n v="53.11"/>
    <n v="0"/>
    <n v="1890.47"/>
    <n v="1890.47"/>
  </r>
  <r>
    <x v="14"/>
    <x v="7"/>
    <x v="52"/>
    <n v="1"/>
    <n v="423.89"/>
    <n v="0"/>
    <n v="423.89"/>
    <n v="423.89"/>
  </r>
  <r>
    <x v="14"/>
    <x v="44"/>
    <x v="53"/>
    <n v="71.260000000000005"/>
    <n v="2"/>
    <n v="0"/>
    <n v="142.52000000000001"/>
    <n v="142.52000000000001"/>
  </r>
  <r>
    <x v="14"/>
    <x v="45"/>
    <x v="54"/>
    <n v="35.200000000000003"/>
    <n v="1"/>
    <n v="0"/>
    <n v="35.200000000000003"/>
    <n v="35.200000000000003"/>
  </r>
  <r>
    <x v="14"/>
    <x v="46"/>
    <x v="55"/>
    <n v="13.54"/>
    <n v="1"/>
    <n v="0"/>
    <n v="13.54"/>
    <n v="13.54"/>
  </r>
  <r>
    <x v="15"/>
    <x v="47"/>
    <x v="56"/>
    <n v="58.84"/>
    <n v="185.50399999999999"/>
    <n v="5069.84"/>
    <n v="5813.68"/>
    <n v="10883.52"/>
  </r>
  <r>
    <x v="16"/>
    <x v="48"/>
    <x v="57"/>
    <n v="1"/>
    <n v="4007.12"/>
    <n v="0"/>
    <n v="4007.12"/>
    <n v="4007.12"/>
  </r>
  <r>
    <x v="17"/>
    <x v="49"/>
    <x v="58"/>
    <n v="1"/>
    <n v="1000.09"/>
    <n v="0"/>
    <n v="1000.09"/>
    <n v="1000.09"/>
  </r>
  <r>
    <x v="18"/>
    <x v="49"/>
    <x v="59"/>
    <n v="1"/>
    <n v="1000"/>
    <n v="0"/>
    <n v="1000"/>
    <n v="1000"/>
  </r>
  <r>
    <x v="19"/>
    <x v="50"/>
    <x v="60"/>
    <n v="56.82"/>
    <n v="6.9039999999999999"/>
    <n v="0"/>
    <n v="392.29"/>
    <n v="392.29"/>
  </r>
  <r>
    <x v="19"/>
    <x v="51"/>
    <x v="61"/>
    <n v="83.34"/>
    <n v="4.4459999999999997"/>
    <n v="0"/>
    <n v="370.54"/>
    <n v="370.54"/>
  </r>
  <r>
    <x v="19"/>
    <x v="52"/>
    <x v="62"/>
    <n v="18.05"/>
    <n v="8.718"/>
    <n v="0"/>
    <n v="157.36000000000001"/>
    <n v="157.36000000000001"/>
  </r>
  <r>
    <x v="20"/>
    <x v="53"/>
    <x v="63"/>
    <n v="62.64"/>
    <n v="8"/>
    <n v="297.39"/>
    <n v="203.73"/>
    <n v="501.12"/>
  </r>
  <r>
    <x v="20"/>
    <x v="28"/>
    <x v="30"/>
    <n v="1"/>
    <n v="12.18"/>
    <n v="0"/>
    <n v="12.18"/>
    <n v="12.18"/>
  </r>
  <r>
    <x v="21"/>
    <x v="54"/>
    <x v="64"/>
    <n v="2392.5"/>
    <n v="1.2E-2"/>
    <n v="0"/>
    <n v="28.71"/>
    <n v="28.71"/>
  </r>
  <r>
    <x v="21"/>
    <x v="55"/>
    <x v="65"/>
    <n v="1"/>
    <n v="1"/>
    <n v="0"/>
    <n v="1"/>
    <n v="1"/>
  </r>
  <r>
    <x v="22"/>
    <x v="56"/>
    <x v="66"/>
    <n v="1"/>
    <n v="0.38"/>
    <n v="0"/>
    <n v="0.38"/>
    <n v="0.38"/>
  </r>
  <r>
    <x v="22"/>
    <x v="57"/>
    <x v="67"/>
    <n v="1"/>
    <n v="0.38"/>
    <n v="0"/>
    <n v="0.38"/>
    <n v="0.38"/>
  </r>
  <r>
    <x v="23"/>
    <x v="58"/>
    <x v="6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E6CD1-EBCE-B54D-89F2-0A923EAB28B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4:G117" firstHeaderRow="0" firstDataRow="1" firstDataCol="1"/>
  <pivotFields count="9">
    <pivotField axis="axisRow" showAll="0" sortType="descending">
      <items count="25">
        <item x="16"/>
        <item x="11"/>
        <item x="19"/>
        <item x="2"/>
        <item x="10"/>
        <item x="13"/>
        <item x="8"/>
        <item x="15"/>
        <item x="4"/>
        <item x="12"/>
        <item x="3"/>
        <item x="20"/>
        <item x="22"/>
        <item x="6"/>
        <item x="17"/>
        <item x="18"/>
        <item x="5"/>
        <item x="14"/>
        <item x="21"/>
        <item x="1"/>
        <item x="0"/>
        <item x="9"/>
        <item x="7"/>
        <item x="23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axis="axisRow" showAll="0" sortType="descending">
      <items count="60">
        <item x="19"/>
        <item x="12"/>
        <item x="42"/>
        <item x="7"/>
        <item x="48"/>
        <item x="37"/>
        <item x="36"/>
        <item x="40"/>
        <item x="41"/>
        <item x="21"/>
        <item x="18"/>
        <item x="52"/>
        <item x="43"/>
        <item x="54"/>
        <item x="57"/>
        <item x="47"/>
        <item x="56"/>
        <item x="3"/>
        <item x="24"/>
        <item x="27"/>
        <item x="22"/>
        <item x="49"/>
        <item x="39"/>
        <item x="50"/>
        <item x="32"/>
        <item x="8"/>
        <item x="23"/>
        <item x="46"/>
        <item x="35"/>
        <item x="26"/>
        <item x="10"/>
        <item x="25"/>
        <item x="28"/>
        <item x="31"/>
        <item x="33"/>
        <item x="34"/>
        <item x="53"/>
        <item x="20"/>
        <item x="51"/>
        <item x="11"/>
        <item x="55"/>
        <item x="13"/>
        <item x="17"/>
        <item x="0"/>
        <item x="2"/>
        <item x="6"/>
        <item x="4"/>
        <item x="5"/>
        <item x="45"/>
        <item x="29"/>
        <item x="30"/>
        <item x="14"/>
        <item x="16"/>
        <item x="1"/>
        <item x="38"/>
        <item x="15"/>
        <item x="9"/>
        <item x="44"/>
        <item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0">
        <item x="12"/>
        <item x="49"/>
        <item x="53"/>
        <item x="45"/>
        <item x="57"/>
        <item x="46"/>
        <item x="41"/>
        <item x="28"/>
        <item x="62"/>
        <item x="51"/>
        <item x="47"/>
        <item x="64"/>
        <item x="56"/>
        <item x="66"/>
        <item x="22"/>
        <item x="3"/>
        <item x="29"/>
        <item x="26"/>
        <item x="67"/>
        <item x="30"/>
        <item x="58"/>
        <item x="59"/>
        <item x="44"/>
        <item x="21"/>
        <item x="60"/>
        <item x="18"/>
        <item x="34"/>
        <item x="24"/>
        <item x="50"/>
        <item x="55"/>
        <item x="37"/>
        <item x="63"/>
        <item x="52"/>
        <item x="40"/>
        <item x="39"/>
        <item x="25"/>
        <item x="10"/>
        <item x="19"/>
        <item x="38"/>
        <item x="61"/>
        <item x="20"/>
        <item x="11"/>
        <item x="36"/>
        <item x="35"/>
        <item x="48"/>
        <item x="65"/>
        <item x="27"/>
        <item x="0"/>
        <item x="43"/>
        <item x="33"/>
        <item x="32"/>
        <item x="13"/>
        <item x="17"/>
        <item x="7"/>
        <item x="4"/>
        <item x="6"/>
        <item x="9"/>
        <item x="2"/>
        <item x="8"/>
        <item x="31"/>
        <item x="5"/>
        <item x="14"/>
        <item x="15"/>
        <item x="23"/>
        <item x="1"/>
        <item x="16"/>
        <item x="42"/>
        <item x="54"/>
        <item x="6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</pivotFields>
  <rowFields count="2">
    <field x="0"/>
    <field x="1"/>
  </rowFields>
  <rowItems count="113">
    <i>
      <x v="11"/>
    </i>
    <i r="1">
      <x v="36"/>
    </i>
    <i r="1">
      <x v="32"/>
    </i>
    <i>
      <x v="20"/>
    </i>
    <i r="1">
      <x v="43"/>
    </i>
    <i r="1">
      <x v="53"/>
    </i>
    <i r="1">
      <x v="44"/>
    </i>
    <i r="1">
      <x v="17"/>
    </i>
    <i r="1">
      <x v="46"/>
    </i>
    <i r="1">
      <x v="47"/>
    </i>
    <i r="1">
      <x v="45"/>
    </i>
    <i r="1">
      <x v="3"/>
    </i>
    <i r="1">
      <x v="25"/>
    </i>
    <i r="1">
      <x v="56"/>
    </i>
    <i r="1">
      <x v="30"/>
    </i>
    <i r="1">
      <x v="39"/>
    </i>
    <i r="1">
      <x v="1"/>
    </i>
    <i r="1">
      <x v="41"/>
    </i>
    <i r="1">
      <x v="51"/>
    </i>
    <i>
      <x v="8"/>
    </i>
    <i r="1">
      <x v="43"/>
    </i>
    <i r="1">
      <x v="46"/>
    </i>
    <i r="1">
      <x v="53"/>
    </i>
    <i r="1">
      <x v="47"/>
    </i>
    <i r="1">
      <x v="49"/>
    </i>
    <i r="1">
      <x v="3"/>
    </i>
    <i>
      <x v="7"/>
    </i>
    <i r="1">
      <x v="15"/>
    </i>
    <i>
      <x v="10"/>
    </i>
    <i r="1">
      <x v="20"/>
    </i>
    <i r="1">
      <x v="55"/>
    </i>
    <i r="1">
      <x v="39"/>
    </i>
    <i r="1">
      <x v="26"/>
    </i>
    <i r="1">
      <x v="30"/>
    </i>
    <i r="1">
      <x v="18"/>
    </i>
    <i r="1">
      <x v="1"/>
    </i>
    <i r="1">
      <x v="31"/>
    </i>
    <i r="1">
      <x v="29"/>
    </i>
    <i r="1">
      <x v="19"/>
    </i>
    <i r="1">
      <x v="32"/>
    </i>
    <i>
      <x v="3"/>
    </i>
    <i r="1">
      <x v="10"/>
    </i>
    <i r="1">
      <x/>
    </i>
    <i r="1">
      <x v="37"/>
    </i>
    <i r="1">
      <x v="9"/>
    </i>
    <i>
      <x v="19"/>
    </i>
    <i r="1">
      <x v="43"/>
    </i>
    <i r="1">
      <x v="51"/>
    </i>
    <i r="1">
      <x v="53"/>
    </i>
    <i r="1">
      <x v="55"/>
    </i>
    <i r="1">
      <x v="52"/>
    </i>
    <i r="1">
      <x v="46"/>
    </i>
    <i r="1">
      <x v="3"/>
    </i>
    <i r="1">
      <x v="56"/>
    </i>
    <i r="1">
      <x v="30"/>
    </i>
    <i r="1">
      <x v="42"/>
    </i>
    <i>
      <x v="22"/>
    </i>
    <i r="1">
      <x v="34"/>
    </i>
    <i r="1">
      <x v="35"/>
    </i>
    <i r="1">
      <x v="28"/>
    </i>
    <i>
      <x v="6"/>
    </i>
    <i r="1">
      <x v="10"/>
    </i>
    <i r="1">
      <x v="9"/>
    </i>
    <i r="1">
      <x v="6"/>
    </i>
    <i r="1">
      <x v="37"/>
    </i>
    <i>
      <x v="13"/>
    </i>
    <i r="1">
      <x v="24"/>
    </i>
    <i>
      <x v="2"/>
    </i>
    <i r="1">
      <x v="23"/>
    </i>
    <i r="1">
      <x v="38"/>
    </i>
    <i r="1">
      <x v="11"/>
    </i>
    <i>
      <x v="9"/>
    </i>
    <i r="1">
      <x v="3"/>
    </i>
    <i>
      <x v="14"/>
    </i>
    <i r="1">
      <x v="21"/>
    </i>
    <i>
      <x v="15"/>
    </i>
    <i r="1">
      <x v="21"/>
    </i>
    <i>
      <x v="16"/>
    </i>
    <i r="1">
      <x v="50"/>
    </i>
    <i r="1">
      <x v="33"/>
    </i>
    <i>
      <x v="17"/>
    </i>
    <i r="1">
      <x v="2"/>
    </i>
    <i r="1">
      <x v="26"/>
    </i>
    <i r="1">
      <x v="12"/>
    </i>
    <i r="1">
      <x v="3"/>
    </i>
    <i r="1">
      <x v="57"/>
    </i>
    <i r="1">
      <x v="48"/>
    </i>
    <i r="1">
      <x v="27"/>
    </i>
    <i>
      <x v="18"/>
    </i>
    <i r="1">
      <x v="13"/>
    </i>
    <i r="1">
      <x v="40"/>
    </i>
    <i>
      <x v="4"/>
    </i>
    <i r="1">
      <x v="3"/>
    </i>
    <i>
      <x/>
    </i>
    <i r="1">
      <x v="4"/>
    </i>
    <i>
      <x v="5"/>
    </i>
    <i r="1">
      <x v="7"/>
    </i>
    <i r="1">
      <x v="8"/>
    </i>
    <i r="1">
      <x v="3"/>
    </i>
    <i>
      <x v="1"/>
    </i>
    <i r="1">
      <x v="54"/>
    </i>
    <i r="1">
      <x v="43"/>
    </i>
    <i r="1">
      <x v="22"/>
    </i>
    <i r="1">
      <x v="3"/>
    </i>
    <i>
      <x v="12"/>
    </i>
    <i r="1">
      <x v="16"/>
    </i>
    <i r="1">
      <x v="14"/>
    </i>
    <i>
      <x v="21"/>
    </i>
    <i r="1">
      <x v="3"/>
    </i>
    <i r="1">
      <x v="5"/>
    </i>
    <i>
      <x v="23"/>
    </i>
    <i r="1">
      <x v="5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urrent Balance" fld="7" baseField="0" baseItem="0" numFmtId="164"/>
    <dataField name="Sum of Cost Basis" fld="6" baseField="0" baseItem="0" numFmtId="4"/>
    <dataField name="Sum of $ Unrealized gain/loss" fld="5" baseField="0" baseItem="0" numFmtId="4"/>
    <dataField name="Sum of Quantity" fld="4" baseField="0" baseItem="0"/>
    <dataField name="Sum of Price" fld="3" baseField="0" baseItem="0"/>
    <dataField name="Sum of MarginPercentage" fld="8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365B-AA4A-2F42-8600-E12641684D6E}">
  <dimension ref="A3:G117"/>
  <sheetViews>
    <sheetView tabSelected="1" topLeftCell="A2" zoomScale="159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activeCell="C2" sqref="C2"/>
    </sheetView>
  </sheetViews>
  <sheetFormatPr baseColWidth="10" defaultRowHeight="15" x14ac:dyDescent="0.2"/>
  <cols>
    <col min="1" max="1" width="42" bestFit="1" customWidth="1"/>
    <col min="2" max="2" width="19.5" bestFit="1" customWidth="1"/>
    <col min="3" max="3" width="36.6640625" bestFit="1" customWidth="1"/>
    <col min="4" max="4" width="24.5" bestFit="1" customWidth="1"/>
    <col min="5" max="5" width="13.83203125" bestFit="1" customWidth="1"/>
    <col min="6" max="6" width="10.6640625" bestFit="1" customWidth="1"/>
    <col min="7" max="7" width="21.5" bestFit="1" customWidth="1"/>
  </cols>
  <sheetData>
    <row r="3" spans="1:7" x14ac:dyDescent="0.2">
      <c r="A3" t="s">
        <v>165</v>
      </c>
      <c r="B3" t="s">
        <v>166</v>
      </c>
      <c r="C3" t="s">
        <v>167</v>
      </c>
    </row>
    <row r="4" spans="1:7" x14ac:dyDescent="0.2">
      <c r="B4" t="s">
        <v>163</v>
      </c>
      <c r="C4" t="s">
        <v>162</v>
      </c>
      <c r="D4" t="s">
        <v>161</v>
      </c>
      <c r="E4" t="s">
        <v>160</v>
      </c>
      <c r="F4" t="s">
        <v>159</v>
      </c>
      <c r="G4" t="s">
        <v>164</v>
      </c>
    </row>
    <row r="5" spans="1:7" x14ac:dyDescent="0.2">
      <c r="A5" s="4" t="s">
        <v>144</v>
      </c>
      <c r="B5" s="6">
        <v>513.29999999999995</v>
      </c>
      <c r="C5" s="7">
        <v>215.91</v>
      </c>
      <c r="D5" s="7">
        <v>297.39</v>
      </c>
      <c r="E5">
        <v>20.18</v>
      </c>
      <c r="F5">
        <v>63.64</v>
      </c>
      <c r="G5" s="8">
        <v>0.57936879018118059</v>
      </c>
    </row>
    <row r="6" spans="1:7" x14ac:dyDescent="0.2">
      <c r="A6" s="5" t="s">
        <v>145</v>
      </c>
      <c r="B6" s="6">
        <v>501.12</v>
      </c>
      <c r="C6" s="7">
        <v>203.73</v>
      </c>
      <c r="D6" s="7">
        <v>297.39</v>
      </c>
      <c r="E6">
        <v>8</v>
      </c>
      <c r="F6">
        <v>62.64</v>
      </c>
      <c r="G6" s="8">
        <v>0.59345067049808431</v>
      </c>
    </row>
    <row r="7" spans="1:7" x14ac:dyDescent="0.2">
      <c r="A7" s="5" t="s">
        <v>70</v>
      </c>
      <c r="B7" s="6">
        <v>12.18</v>
      </c>
      <c r="C7" s="7">
        <v>12.18</v>
      </c>
      <c r="D7" s="7">
        <v>0</v>
      </c>
      <c r="E7">
        <v>12.18</v>
      </c>
      <c r="F7">
        <v>1</v>
      </c>
      <c r="G7" s="8">
        <v>0</v>
      </c>
    </row>
    <row r="8" spans="1:7" x14ac:dyDescent="0.2">
      <c r="A8" s="4" t="s">
        <v>8</v>
      </c>
      <c r="B8" s="6">
        <v>2018221.87</v>
      </c>
      <c r="C8" s="7">
        <v>947221.26999999979</v>
      </c>
      <c r="D8" s="7">
        <v>1071000.6000000001</v>
      </c>
      <c r="E8">
        <v>108328.122</v>
      </c>
      <c r="F8">
        <v>5037.4399999999987</v>
      </c>
      <c r="G8" s="8">
        <v>0.53066544165434104</v>
      </c>
    </row>
    <row r="9" spans="1:7" x14ac:dyDescent="0.2">
      <c r="A9" s="5" t="s">
        <v>9</v>
      </c>
      <c r="B9" s="6">
        <v>306455.84999999998</v>
      </c>
      <c r="C9" s="7">
        <v>106727.73</v>
      </c>
      <c r="D9" s="7">
        <v>199728.12</v>
      </c>
      <c r="E9">
        <v>465.79500000000002</v>
      </c>
      <c r="F9">
        <v>657.92</v>
      </c>
      <c r="G9" s="8">
        <v>0.65173538047976576</v>
      </c>
    </row>
    <row r="10" spans="1:7" x14ac:dyDescent="0.2">
      <c r="A10" s="5" t="s">
        <v>11</v>
      </c>
      <c r="B10" s="6">
        <v>287500.15000000002</v>
      </c>
      <c r="C10" s="7">
        <v>111273.44</v>
      </c>
      <c r="D10" s="7">
        <v>176226.71</v>
      </c>
      <c r="E10">
        <v>1684.6369999999999</v>
      </c>
      <c r="F10">
        <v>170.66</v>
      </c>
      <c r="G10" s="8">
        <v>0.61296214975887831</v>
      </c>
    </row>
    <row r="11" spans="1:7" x14ac:dyDescent="0.2">
      <c r="A11" s="5" t="s">
        <v>13</v>
      </c>
      <c r="B11" s="6">
        <v>273021.21000000002</v>
      </c>
      <c r="C11" s="7">
        <v>96747.07</v>
      </c>
      <c r="D11" s="7">
        <v>176274.14</v>
      </c>
      <c r="E11">
        <v>338.91300000000001</v>
      </c>
      <c r="F11">
        <v>805.58</v>
      </c>
      <c r="G11" s="8">
        <v>0.64564265904469476</v>
      </c>
    </row>
    <row r="12" spans="1:7" x14ac:dyDescent="0.2">
      <c r="A12" s="5" t="s">
        <v>15</v>
      </c>
      <c r="B12" s="6">
        <v>264062.53000000003</v>
      </c>
      <c r="C12" s="7">
        <v>83853.940000000031</v>
      </c>
      <c r="D12" s="7">
        <v>180208.59</v>
      </c>
      <c r="E12">
        <v>1600.2819999999999</v>
      </c>
      <c r="F12">
        <v>165.01</v>
      </c>
      <c r="G12" s="8">
        <v>0.68244665382854575</v>
      </c>
    </row>
    <row r="13" spans="1:7" x14ac:dyDescent="0.2">
      <c r="A13" s="5" t="s">
        <v>17</v>
      </c>
      <c r="B13" s="6">
        <v>256452.91</v>
      </c>
      <c r="C13" s="7">
        <v>111143.37</v>
      </c>
      <c r="D13" s="7">
        <v>145309.54</v>
      </c>
      <c r="E13">
        <v>1008.585</v>
      </c>
      <c r="F13">
        <v>254.27</v>
      </c>
      <c r="G13" s="8">
        <v>0.56661295050229687</v>
      </c>
    </row>
    <row r="14" spans="1:7" x14ac:dyDescent="0.2">
      <c r="A14" s="5" t="s">
        <v>19</v>
      </c>
      <c r="B14" s="6">
        <v>119535.39</v>
      </c>
      <c r="C14" s="7">
        <v>57262.83</v>
      </c>
      <c r="D14" s="7">
        <v>62272.56</v>
      </c>
      <c r="E14">
        <v>314.36</v>
      </c>
      <c r="F14">
        <v>380.25</v>
      </c>
      <c r="G14" s="8">
        <v>0.52095500755048352</v>
      </c>
    </row>
    <row r="15" spans="1:7" x14ac:dyDescent="0.2">
      <c r="A15" s="5" t="s">
        <v>21</v>
      </c>
      <c r="B15" s="6">
        <v>102464.06</v>
      </c>
      <c r="C15" s="7">
        <v>52390.49</v>
      </c>
      <c r="D15" s="7">
        <v>50073.57</v>
      </c>
      <c r="E15">
        <v>367.98</v>
      </c>
      <c r="F15">
        <v>278.45</v>
      </c>
      <c r="G15" s="8">
        <v>0.48869398694527622</v>
      </c>
    </row>
    <row r="16" spans="1:7" x14ac:dyDescent="0.2">
      <c r="A16" s="5" t="s">
        <v>23</v>
      </c>
      <c r="B16" s="6">
        <v>100000.6</v>
      </c>
      <c r="C16" s="7">
        <v>100000.6</v>
      </c>
      <c r="D16" s="7">
        <v>0</v>
      </c>
      <c r="E16">
        <v>100000.6</v>
      </c>
      <c r="F16">
        <v>1</v>
      </c>
      <c r="G16" s="8">
        <v>0</v>
      </c>
    </row>
    <row r="17" spans="1:7" x14ac:dyDescent="0.2">
      <c r="A17" s="5" t="s">
        <v>25</v>
      </c>
      <c r="B17" s="6">
        <v>77984.710000000006</v>
      </c>
      <c r="C17" s="7">
        <v>60440.38</v>
      </c>
      <c r="D17" s="7">
        <v>17544.330000000002</v>
      </c>
      <c r="E17">
        <v>187.499</v>
      </c>
      <c r="F17">
        <v>415.92</v>
      </c>
      <c r="G17" s="8">
        <v>0.22497140785674524</v>
      </c>
    </row>
    <row r="18" spans="1:7" x14ac:dyDescent="0.2">
      <c r="A18" s="5" t="s">
        <v>27</v>
      </c>
      <c r="B18" s="6">
        <v>65289.29</v>
      </c>
      <c r="C18" s="7">
        <v>61808.46</v>
      </c>
      <c r="D18" s="7">
        <v>3480.83</v>
      </c>
      <c r="E18">
        <v>420.923</v>
      </c>
      <c r="F18">
        <v>155.11000000000001</v>
      </c>
      <c r="G18" s="8">
        <v>5.3313950879233026E-2</v>
      </c>
    </row>
    <row r="19" spans="1:7" x14ac:dyDescent="0.2">
      <c r="A19" s="5" t="s">
        <v>29</v>
      </c>
      <c r="B19" s="6">
        <v>50456.25</v>
      </c>
      <c r="C19" s="7">
        <v>49968.6</v>
      </c>
      <c r="D19" s="7">
        <v>487.65</v>
      </c>
      <c r="E19">
        <v>1625</v>
      </c>
      <c r="F19">
        <v>31.05</v>
      </c>
      <c r="G19" s="8">
        <v>9.6648086213303609E-3</v>
      </c>
    </row>
    <row r="20" spans="1:7" x14ac:dyDescent="0.2">
      <c r="A20" s="5" t="s">
        <v>31</v>
      </c>
      <c r="B20" s="6">
        <v>42065.1</v>
      </c>
      <c r="C20" s="7">
        <v>10051.41</v>
      </c>
      <c r="D20" s="7">
        <v>32013.69</v>
      </c>
      <c r="E20">
        <v>105</v>
      </c>
      <c r="F20">
        <v>400.62</v>
      </c>
      <c r="G20" s="8">
        <v>0.76105108510380337</v>
      </c>
    </row>
    <row r="21" spans="1:7" x14ac:dyDescent="0.2">
      <c r="A21" s="5" t="s">
        <v>33</v>
      </c>
      <c r="B21" s="6">
        <v>32290.32</v>
      </c>
      <c r="C21" s="7">
        <v>8726.86</v>
      </c>
      <c r="D21" s="7">
        <v>23563.46</v>
      </c>
      <c r="E21">
        <v>119.492</v>
      </c>
      <c r="F21">
        <v>270.23</v>
      </c>
      <c r="G21" s="8">
        <v>0.72973758079820827</v>
      </c>
    </row>
    <row r="22" spans="1:7" x14ac:dyDescent="0.2">
      <c r="A22" s="5" t="s">
        <v>35</v>
      </c>
      <c r="B22" s="6">
        <v>27426.66</v>
      </c>
      <c r="C22" s="7">
        <v>26295.64</v>
      </c>
      <c r="D22" s="7">
        <v>1131.02</v>
      </c>
      <c r="E22">
        <v>68.808999999999997</v>
      </c>
      <c r="F22">
        <v>398.59</v>
      </c>
      <c r="G22" s="8">
        <v>4.123797793825424E-2</v>
      </c>
    </row>
    <row r="23" spans="1:7" x14ac:dyDescent="0.2">
      <c r="A23" s="5" t="s">
        <v>37</v>
      </c>
      <c r="B23" s="6">
        <v>13216.84</v>
      </c>
      <c r="C23" s="7">
        <v>10530.45</v>
      </c>
      <c r="D23" s="7">
        <v>2686.39</v>
      </c>
      <c r="E23">
        <v>20.247</v>
      </c>
      <c r="F23">
        <v>652.78</v>
      </c>
      <c r="G23" s="8">
        <v>0.20325508971887379</v>
      </c>
    </row>
    <row r="24" spans="1:7" x14ac:dyDescent="0.2">
      <c r="A24" s="4" t="s">
        <v>72</v>
      </c>
      <c r="B24" s="6">
        <v>468024.6</v>
      </c>
      <c r="C24" s="7">
        <v>230961.75</v>
      </c>
      <c r="D24" s="7">
        <v>237062.84999999998</v>
      </c>
      <c r="E24">
        <v>1860.374</v>
      </c>
      <c r="F24">
        <v>1586.22</v>
      </c>
      <c r="G24" s="8">
        <v>0.50651792662180573</v>
      </c>
    </row>
    <row r="25" spans="1:7" x14ac:dyDescent="0.2">
      <c r="A25" s="5" t="s">
        <v>9</v>
      </c>
      <c r="B25" s="6">
        <v>134081.46</v>
      </c>
      <c r="C25" s="7">
        <v>58324.759999999987</v>
      </c>
      <c r="D25" s="7">
        <v>75756.7</v>
      </c>
      <c r="E25">
        <v>203.79599999999999</v>
      </c>
      <c r="F25">
        <v>657.92</v>
      </c>
      <c r="G25" s="8">
        <v>0.56500503499887311</v>
      </c>
    </row>
    <row r="26" spans="1:7" x14ac:dyDescent="0.2">
      <c r="A26" s="5" t="s">
        <v>17</v>
      </c>
      <c r="B26" s="6">
        <v>120334.29</v>
      </c>
      <c r="C26" s="7">
        <v>63013.84</v>
      </c>
      <c r="D26" s="7">
        <v>57320.45</v>
      </c>
      <c r="E26">
        <v>473.25400000000002</v>
      </c>
      <c r="F26">
        <v>254.27</v>
      </c>
      <c r="G26" s="8">
        <v>0.47634344292055075</v>
      </c>
    </row>
    <row r="27" spans="1:7" x14ac:dyDescent="0.2">
      <c r="A27" s="5" t="s">
        <v>11</v>
      </c>
      <c r="B27" s="6">
        <v>117268.34</v>
      </c>
      <c r="C27" s="7">
        <v>52381.95</v>
      </c>
      <c r="D27" s="7">
        <v>64886.39</v>
      </c>
      <c r="E27">
        <v>687.14599999999996</v>
      </c>
      <c r="F27">
        <v>170.66</v>
      </c>
      <c r="G27" s="8">
        <v>0.553315498454229</v>
      </c>
    </row>
    <row r="28" spans="1:7" x14ac:dyDescent="0.2">
      <c r="A28" s="5" t="s">
        <v>19</v>
      </c>
      <c r="B28" s="6">
        <v>55281.89</v>
      </c>
      <c r="C28" s="7">
        <v>31033.55</v>
      </c>
      <c r="D28" s="7">
        <v>24248.34</v>
      </c>
      <c r="E28">
        <v>145.38300000000001</v>
      </c>
      <c r="F28">
        <v>380.25</v>
      </c>
      <c r="G28" s="8">
        <v>0.43863080658059989</v>
      </c>
    </row>
    <row r="29" spans="1:7" x14ac:dyDescent="0.2">
      <c r="A29" s="5" t="s">
        <v>73</v>
      </c>
      <c r="B29" s="6">
        <v>41043.919999999998</v>
      </c>
      <c r="C29" s="7">
        <v>26192.95</v>
      </c>
      <c r="D29" s="7">
        <v>14850.97</v>
      </c>
      <c r="E29">
        <v>336.09500000000003</v>
      </c>
      <c r="F29">
        <v>122.12</v>
      </c>
      <c r="G29" s="8">
        <v>0.36183117986780988</v>
      </c>
    </row>
    <row r="30" spans="1:7" x14ac:dyDescent="0.2">
      <c r="A30" s="5" t="s">
        <v>23</v>
      </c>
      <c r="B30" s="6">
        <v>14.7</v>
      </c>
      <c r="C30" s="7">
        <v>14.7</v>
      </c>
      <c r="D30" s="7">
        <v>0</v>
      </c>
      <c r="E30">
        <v>14.7</v>
      </c>
      <c r="F30">
        <v>1</v>
      </c>
      <c r="G30" s="8">
        <v>0</v>
      </c>
    </row>
    <row r="31" spans="1:7" x14ac:dyDescent="0.2">
      <c r="A31" s="4" t="s">
        <v>126</v>
      </c>
      <c r="B31" s="6">
        <v>10883.52</v>
      </c>
      <c r="C31" s="7">
        <v>5813.68</v>
      </c>
      <c r="D31" s="7">
        <v>5069.84</v>
      </c>
      <c r="E31">
        <v>185.50399999999999</v>
      </c>
      <c r="F31">
        <v>58.84</v>
      </c>
      <c r="G31" s="8">
        <v>0.46582723236599921</v>
      </c>
    </row>
    <row r="32" spans="1:7" x14ac:dyDescent="0.2">
      <c r="A32" s="5" t="s">
        <v>127</v>
      </c>
      <c r="B32" s="6">
        <v>10883.52</v>
      </c>
      <c r="C32" s="7">
        <v>5813.68</v>
      </c>
      <c r="D32" s="7">
        <v>5069.84</v>
      </c>
      <c r="E32">
        <v>185.50399999999999</v>
      </c>
      <c r="F32">
        <v>58.84</v>
      </c>
      <c r="G32" s="8">
        <v>0.46582723236599921</v>
      </c>
    </row>
    <row r="33" spans="1:7" x14ac:dyDescent="0.2">
      <c r="A33" s="4" t="s">
        <v>55</v>
      </c>
      <c r="B33" s="6">
        <v>500937.26999999996</v>
      </c>
      <c r="C33" s="7">
        <v>337878.68000000005</v>
      </c>
      <c r="D33" s="7">
        <v>163058.59000000003</v>
      </c>
      <c r="E33">
        <v>4610.9250000000002</v>
      </c>
      <c r="F33">
        <v>2171.19</v>
      </c>
      <c r="G33" s="8">
        <v>0.32550700410053346</v>
      </c>
    </row>
    <row r="34" spans="1:7" x14ac:dyDescent="0.2">
      <c r="A34" s="5" t="s">
        <v>56</v>
      </c>
      <c r="B34" s="6">
        <v>131349.53</v>
      </c>
      <c r="C34" s="7">
        <v>84486.99</v>
      </c>
      <c r="D34" s="7">
        <v>46862.54</v>
      </c>
      <c r="E34">
        <v>526.80999999999995</v>
      </c>
      <c r="F34">
        <v>249.33</v>
      </c>
      <c r="G34" s="8">
        <v>0.35677737103436913</v>
      </c>
    </row>
    <row r="35" spans="1:7" x14ac:dyDescent="0.2">
      <c r="A35" s="5" t="s">
        <v>40</v>
      </c>
      <c r="B35" s="6">
        <v>77222.320000000007</v>
      </c>
      <c r="C35" s="7">
        <v>72246.39</v>
      </c>
      <c r="D35" s="7">
        <v>4975.93</v>
      </c>
      <c r="E35">
        <v>937.84699999999998</v>
      </c>
      <c r="F35">
        <v>82.34</v>
      </c>
      <c r="G35" s="8">
        <v>6.4436422008559188E-2</v>
      </c>
    </row>
    <row r="36" spans="1:7" x14ac:dyDescent="0.2">
      <c r="A36" s="5" t="s">
        <v>31</v>
      </c>
      <c r="B36" s="6">
        <v>71947.3</v>
      </c>
      <c r="C36" s="7">
        <v>43983.8</v>
      </c>
      <c r="D36" s="7">
        <v>27963.5</v>
      </c>
      <c r="E36">
        <v>190</v>
      </c>
      <c r="F36">
        <v>378.67</v>
      </c>
      <c r="G36" s="8">
        <v>0.38866642667619217</v>
      </c>
    </row>
    <row r="37" spans="1:7" x14ac:dyDescent="0.2">
      <c r="A37" s="5" t="s">
        <v>59</v>
      </c>
      <c r="B37" s="6">
        <v>54992.73</v>
      </c>
      <c r="C37" s="7">
        <v>18407.400000000001</v>
      </c>
      <c r="D37" s="7">
        <v>36585.33</v>
      </c>
      <c r="E37">
        <v>253.87899999999999</v>
      </c>
      <c r="F37">
        <v>216.61</v>
      </c>
      <c r="G37" s="8">
        <v>0.66527575554077789</v>
      </c>
    </row>
    <row r="38" spans="1:7" x14ac:dyDescent="0.2">
      <c r="A38" s="5" t="s">
        <v>29</v>
      </c>
      <c r="B38" s="6">
        <v>52357.01</v>
      </c>
      <c r="C38" s="7">
        <v>51642.44</v>
      </c>
      <c r="D38" s="7">
        <v>714.57</v>
      </c>
      <c r="E38">
        <v>1681.883</v>
      </c>
      <c r="F38">
        <v>31.13</v>
      </c>
      <c r="G38" s="8">
        <v>1.3648029175080853E-2</v>
      </c>
    </row>
    <row r="39" spans="1:7" x14ac:dyDescent="0.2">
      <c r="A39" s="5" t="s">
        <v>62</v>
      </c>
      <c r="B39" s="6">
        <v>36640.03</v>
      </c>
      <c r="C39" s="7">
        <v>19670.28</v>
      </c>
      <c r="D39" s="7">
        <v>16969.75</v>
      </c>
      <c r="E39">
        <v>637.21799999999996</v>
      </c>
      <c r="F39">
        <v>57.5</v>
      </c>
      <c r="G39" s="8">
        <v>0.46314781947503864</v>
      </c>
    </row>
    <row r="40" spans="1:7" x14ac:dyDescent="0.2">
      <c r="A40" s="5" t="s">
        <v>33</v>
      </c>
      <c r="B40" s="6">
        <v>27008.799999999999</v>
      </c>
      <c r="C40" s="7">
        <v>16720.09</v>
      </c>
      <c r="D40" s="7">
        <v>10288.709999999999</v>
      </c>
      <c r="E40">
        <v>100.926</v>
      </c>
      <c r="F40">
        <v>267.61</v>
      </c>
      <c r="G40" s="8">
        <v>0.38093917537987615</v>
      </c>
    </row>
    <row r="41" spans="1:7" x14ac:dyDescent="0.2">
      <c r="A41" s="5" t="s">
        <v>64</v>
      </c>
      <c r="B41" s="6">
        <v>18461.78</v>
      </c>
      <c r="C41" s="7">
        <v>9917.67</v>
      </c>
      <c r="D41" s="7">
        <v>8544.11</v>
      </c>
      <c r="E41">
        <v>36.466999999999999</v>
      </c>
      <c r="F41">
        <v>506.26</v>
      </c>
      <c r="G41" s="8">
        <v>0.46279990336793098</v>
      </c>
    </row>
    <row r="42" spans="1:7" x14ac:dyDescent="0.2">
      <c r="A42" s="5" t="s">
        <v>66</v>
      </c>
      <c r="B42" s="6">
        <v>16113</v>
      </c>
      <c r="C42" s="7">
        <v>10675.51</v>
      </c>
      <c r="D42" s="7">
        <v>5437.49</v>
      </c>
      <c r="E42">
        <v>122.17</v>
      </c>
      <c r="F42">
        <v>131.88999999999999</v>
      </c>
      <c r="G42" s="8">
        <v>0.33745981505616579</v>
      </c>
    </row>
    <row r="43" spans="1:7" x14ac:dyDescent="0.2">
      <c r="A43" s="5" t="s">
        <v>68</v>
      </c>
      <c r="B43" s="6">
        <v>14780.44</v>
      </c>
      <c r="C43" s="7">
        <v>10063.780000000001</v>
      </c>
      <c r="D43" s="7">
        <v>4716.66</v>
      </c>
      <c r="E43">
        <v>59.395000000000003</v>
      </c>
      <c r="F43">
        <v>248.85</v>
      </c>
      <c r="G43" s="8">
        <v>0.31911499251713749</v>
      </c>
    </row>
    <row r="44" spans="1:7" x14ac:dyDescent="0.2">
      <c r="A44" s="5" t="s">
        <v>70</v>
      </c>
      <c r="B44" s="6">
        <v>64.33</v>
      </c>
      <c r="C44" s="7">
        <v>64.33</v>
      </c>
      <c r="D44" s="7">
        <v>0</v>
      </c>
      <c r="E44">
        <v>64.33</v>
      </c>
      <c r="F44">
        <v>1</v>
      </c>
      <c r="G44" s="8">
        <v>0</v>
      </c>
    </row>
    <row r="45" spans="1:7" x14ac:dyDescent="0.2">
      <c r="A45" s="4" t="s">
        <v>46</v>
      </c>
      <c r="B45" s="6">
        <v>770997.81</v>
      </c>
      <c r="C45" s="7">
        <v>592426.74</v>
      </c>
      <c r="D45" s="7">
        <v>178571.07</v>
      </c>
      <c r="E45">
        <v>223695.163</v>
      </c>
      <c r="F45">
        <v>189.92000000000002</v>
      </c>
      <c r="G45" s="8">
        <v>0.23161034659748256</v>
      </c>
    </row>
    <row r="46" spans="1:7" x14ac:dyDescent="0.2">
      <c r="A46" s="5" t="s">
        <v>47</v>
      </c>
      <c r="B46" s="6">
        <v>350112.5</v>
      </c>
      <c r="C46" s="7">
        <v>221682.64</v>
      </c>
      <c r="D46" s="7">
        <v>128429.86</v>
      </c>
      <c r="E46">
        <v>4736.4669999999996</v>
      </c>
      <c r="F46">
        <v>73.92</v>
      </c>
      <c r="G46" s="8">
        <v>0.36682454925202612</v>
      </c>
    </row>
    <row r="47" spans="1:7" x14ac:dyDescent="0.2">
      <c r="A47" s="5" t="s">
        <v>49</v>
      </c>
      <c r="B47" s="6">
        <v>213631.55</v>
      </c>
      <c r="C47" s="7">
        <v>213631.55</v>
      </c>
      <c r="D47" s="7">
        <v>0</v>
      </c>
      <c r="E47">
        <v>213631.55</v>
      </c>
      <c r="F47">
        <v>1</v>
      </c>
      <c r="G47" s="8">
        <v>0</v>
      </c>
    </row>
    <row r="48" spans="1:7" x14ac:dyDescent="0.2">
      <c r="A48" s="5" t="s">
        <v>51</v>
      </c>
      <c r="B48" s="6">
        <v>205776.07</v>
      </c>
      <c r="C48" s="7">
        <v>155694.1</v>
      </c>
      <c r="D48" s="7">
        <v>50081.97</v>
      </c>
      <c r="E48">
        <v>5307.7610000000004</v>
      </c>
      <c r="F48">
        <v>38.770000000000003</v>
      </c>
      <c r="G48" s="8">
        <v>0.24338092373909173</v>
      </c>
    </row>
    <row r="49" spans="1:7" x14ac:dyDescent="0.2">
      <c r="A49" s="5" t="s">
        <v>53</v>
      </c>
      <c r="B49" s="6">
        <v>1477.69</v>
      </c>
      <c r="C49" s="7">
        <v>1418.45</v>
      </c>
      <c r="D49" s="7">
        <v>59.240000000000009</v>
      </c>
      <c r="E49">
        <v>19.385000000000002</v>
      </c>
      <c r="F49">
        <v>76.23</v>
      </c>
      <c r="G49" s="8">
        <v>4.0089599307026512E-2</v>
      </c>
    </row>
    <row r="50" spans="1:7" x14ac:dyDescent="0.2">
      <c r="A50" s="4" t="s">
        <v>39</v>
      </c>
      <c r="B50" s="6">
        <v>991547.83000000007</v>
      </c>
      <c r="C50" s="7">
        <v>777961.59999999986</v>
      </c>
      <c r="D50" s="7">
        <v>213586.23</v>
      </c>
      <c r="E50">
        <v>55622.861999999994</v>
      </c>
      <c r="F50">
        <v>2212.63</v>
      </c>
      <c r="G50" s="8">
        <v>0.21540688561640037</v>
      </c>
    </row>
    <row r="51" spans="1:7" x14ac:dyDescent="0.2">
      <c r="A51" s="5" t="s">
        <v>9</v>
      </c>
      <c r="B51" s="6">
        <v>301789.88</v>
      </c>
      <c r="C51" s="7">
        <v>187517.47</v>
      </c>
      <c r="D51" s="7">
        <v>114272.41</v>
      </c>
      <c r="E51">
        <v>458.70299999999997</v>
      </c>
      <c r="F51">
        <v>657.92</v>
      </c>
      <c r="G51" s="8">
        <v>0.37864891294565611</v>
      </c>
    </row>
    <row r="52" spans="1:7" x14ac:dyDescent="0.2">
      <c r="A52" s="5" t="s">
        <v>37</v>
      </c>
      <c r="B52" s="6">
        <v>155378.74</v>
      </c>
      <c r="C52" s="7">
        <v>148906.54</v>
      </c>
      <c r="D52" s="7">
        <v>6472.2</v>
      </c>
      <c r="E52">
        <v>238.02600000000001</v>
      </c>
      <c r="F52">
        <v>652.78</v>
      </c>
      <c r="G52" s="8">
        <v>4.1654347306459047E-2</v>
      </c>
    </row>
    <row r="53" spans="1:7" x14ac:dyDescent="0.2">
      <c r="A53" s="5" t="s">
        <v>11</v>
      </c>
      <c r="B53" s="6">
        <v>149638.60999999999</v>
      </c>
      <c r="C53" s="7">
        <v>97065.939999999988</v>
      </c>
      <c r="D53" s="7">
        <v>52572.67</v>
      </c>
      <c r="E53">
        <v>876.82299999999998</v>
      </c>
      <c r="F53">
        <v>170.66</v>
      </c>
      <c r="G53" s="8">
        <v>0.35133091653283871</v>
      </c>
    </row>
    <row r="54" spans="1:7" x14ac:dyDescent="0.2">
      <c r="A54" s="5" t="s">
        <v>40</v>
      </c>
      <c r="B54" s="6">
        <v>79180.06</v>
      </c>
      <c r="C54" s="7">
        <v>73135.709999999992</v>
      </c>
      <c r="D54" s="7">
        <v>6044.35</v>
      </c>
      <c r="E54">
        <v>945.43399999999997</v>
      </c>
      <c r="F54">
        <v>83.75</v>
      </c>
      <c r="G54" s="8">
        <v>7.6336769636193763E-2</v>
      </c>
    </row>
    <row r="55" spans="1:7" x14ac:dyDescent="0.2">
      <c r="A55" s="5" t="s">
        <v>42</v>
      </c>
      <c r="B55" s="6">
        <v>70899.73</v>
      </c>
      <c r="C55" s="7">
        <v>68388.81</v>
      </c>
      <c r="D55" s="7">
        <v>2510.92</v>
      </c>
      <c r="E55">
        <v>470.03300000000002</v>
      </c>
      <c r="F55">
        <v>150.84</v>
      </c>
      <c r="G55" s="8">
        <v>3.5415085501736047E-2</v>
      </c>
    </row>
    <row r="56" spans="1:7" x14ac:dyDescent="0.2">
      <c r="A56" s="5" t="s">
        <v>17</v>
      </c>
      <c r="B56" s="6">
        <v>61683.360000000001</v>
      </c>
      <c r="C56" s="7">
        <v>37541.240000000013</v>
      </c>
      <c r="D56" s="7">
        <v>24142.12</v>
      </c>
      <c r="E56">
        <v>242.59</v>
      </c>
      <c r="F56">
        <v>254.27</v>
      </c>
      <c r="G56" s="8">
        <v>0.39138788807872982</v>
      </c>
    </row>
    <row r="57" spans="1:7" x14ac:dyDescent="0.2">
      <c r="A57" s="5" t="s">
        <v>23</v>
      </c>
      <c r="B57" s="6">
        <v>50054.78</v>
      </c>
      <c r="C57" s="7">
        <v>50054.78</v>
      </c>
      <c r="D57" s="7">
        <v>0</v>
      </c>
      <c r="E57">
        <v>50054.78</v>
      </c>
      <c r="F57">
        <v>1</v>
      </c>
      <c r="G57" s="8">
        <v>0</v>
      </c>
    </row>
    <row r="58" spans="1:7" x14ac:dyDescent="0.2">
      <c r="A58" s="5" t="s">
        <v>27</v>
      </c>
      <c r="B58" s="6">
        <v>45939.55</v>
      </c>
      <c r="C58" s="7">
        <v>44999.990000000013</v>
      </c>
      <c r="D58" s="7">
        <v>939.56</v>
      </c>
      <c r="E58">
        <v>296.17399999999998</v>
      </c>
      <c r="F58">
        <v>155.11000000000001</v>
      </c>
      <c r="G58" s="8">
        <v>2.0452094110630162E-2</v>
      </c>
    </row>
    <row r="59" spans="1:7" x14ac:dyDescent="0.2">
      <c r="A59" s="5" t="s">
        <v>29</v>
      </c>
      <c r="B59" s="6">
        <v>45860.85</v>
      </c>
      <c r="C59" s="7">
        <v>45271.99</v>
      </c>
      <c r="D59" s="7">
        <v>588.86</v>
      </c>
      <c r="E59">
        <v>1477</v>
      </c>
      <c r="F59">
        <v>31.05</v>
      </c>
      <c r="G59" s="8">
        <v>1.2840145788837321E-2</v>
      </c>
    </row>
    <row r="60" spans="1:7" x14ac:dyDescent="0.2">
      <c r="A60" s="5" t="s">
        <v>44</v>
      </c>
      <c r="B60" s="6">
        <v>31122.27</v>
      </c>
      <c r="C60" s="7">
        <v>25079.13</v>
      </c>
      <c r="D60" s="7">
        <v>6043.14</v>
      </c>
      <c r="E60">
        <v>563.29899999999998</v>
      </c>
      <c r="F60">
        <v>55.25</v>
      </c>
      <c r="G60" s="8">
        <v>0.19417413961128158</v>
      </c>
    </row>
    <row r="61" spans="1:7" x14ac:dyDescent="0.2">
      <c r="A61" s="4" t="s">
        <v>83</v>
      </c>
      <c r="B61" s="6">
        <v>117000</v>
      </c>
      <c r="C61" s="7">
        <v>115000</v>
      </c>
      <c r="D61" s="7">
        <v>2000</v>
      </c>
      <c r="E61">
        <v>117000</v>
      </c>
      <c r="F61">
        <v>3</v>
      </c>
      <c r="G61" s="8">
        <v>1.7094017094017096E-2</v>
      </c>
    </row>
    <row r="62" spans="1:7" x14ac:dyDescent="0.2">
      <c r="A62" s="5" t="s">
        <v>84</v>
      </c>
      <c r="B62" s="6">
        <v>80000</v>
      </c>
      <c r="C62" s="7">
        <v>80000</v>
      </c>
      <c r="D62" s="7">
        <v>0</v>
      </c>
      <c r="E62">
        <v>80000</v>
      </c>
      <c r="F62">
        <v>1</v>
      </c>
      <c r="G62" s="8">
        <v>0</v>
      </c>
    </row>
    <row r="63" spans="1:7" x14ac:dyDescent="0.2">
      <c r="A63" s="5" t="s">
        <v>86</v>
      </c>
      <c r="B63" s="6">
        <v>22000</v>
      </c>
      <c r="C63" s="7">
        <v>20000</v>
      </c>
      <c r="D63" s="7">
        <v>2000</v>
      </c>
      <c r="E63">
        <v>22000</v>
      </c>
      <c r="F63">
        <v>1</v>
      </c>
      <c r="G63" s="8">
        <v>9.0909090909090912E-2</v>
      </c>
    </row>
    <row r="64" spans="1:7" x14ac:dyDescent="0.2">
      <c r="A64" s="5" t="s">
        <v>88</v>
      </c>
      <c r="B64" s="6">
        <v>15000</v>
      </c>
      <c r="C64" s="7">
        <v>15000</v>
      </c>
      <c r="D64" s="7">
        <v>0</v>
      </c>
      <c r="E64">
        <v>15000</v>
      </c>
      <c r="F64">
        <v>1</v>
      </c>
      <c r="G64" s="8">
        <v>0</v>
      </c>
    </row>
    <row r="65" spans="1:7" x14ac:dyDescent="0.2">
      <c r="A65" s="4" t="s">
        <v>90</v>
      </c>
      <c r="B65" s="6">
        <v>94189.26</v>
      </c>
      <c r="C65" s="7">
        <v>94189.26</v>
      </c>
      <c r="D65" s="7">
        <v>0</v>
      </c>
      <c r="E65">
        <v>1420.9110000000001</v>
      </c>
      <c r="F65">
        <v>241.12000000000003</v>
      </c>
      <c r="G65" s="8">
        <v>0</v>
      </c>
    </row>
    <row r="66" spans="1:7" x14ac:dyDescent="0.2">
      <c r="A66" s="5" t="s">
        <v>47</v>
      </c>
      <c r="B66" s="6">
        <v>56711.87</v>
      </c>
      <c r="C66" s="7">
        <v>56711.87</v>
      </c>
      <c r="D66" s="7">
        <v>0</v>
      </c>
      <c r="E66">
        <v>767.22199999999998</v>
      </c>
      <c r="F66">
        <v>73.92</v>
      </c>
      <c r="G66" s="8">
        <v>0</v>
      </c>
    </row>
    <row r="67" spans="1:7" x14ac:dyDescent="0.2">
      <c r="A67" s="5" t="s">
        <v>53</v>
      </c>
      <c r="B67" s="6">
        <v>19485.830000000002</v>
      </c>
      <c r="C67" s="7">
        <v>19485.830000000002</v>
      </c>
      <c r="D67" s="7">
        <v>0</v>
      </c>
      <c r="E67">
        <v>255.62299999999999</v>
      </c>
      <c r="F67">
        <v>76.23</v>
      </c>
      <c r="G67" s="8">
        <v>0</v>
      </c>
    </row>
    <row r="68" spans="1:7" x14ac:dyDescent="0.2">
      <c r="A68" s="5" t="s">
        <v>91</v>
      </c>
      <c r="B68" s="6">
        <v>9943.36</v>
      </c>
      <c r="C68" s="7">
        <v>9943.36</v>
      </c>
      <c r="D68" s="7">
        <v>0</v>
      </c>
      <c r="E68">
        <v>190.47200000000001</v>
      </c>
      <c r="F68">
        <v>52.2</v>
      </c>
      <c r="G68" s="8">
        <v>0</v>
      </c>
    </row>
    <row r="69" spans="1:7" x14ac:dyDescent="0.2">
      <c r="A69" s="5" t="s">
        <v>51</v>
      </c>
      <c r="B69" s="6">
        <v>8048.2</v>
      </c>
      <c r="C69" s="7">
        <v>8048.2</v>
      </c>
      <c r="D69" s="7">
        <v>0</v>
      </c>
      <c r="E69">
        <v>207.59399999999999</v>
      </c>
      <c r="F69">
        <v>38.770000000000003</v>
      </c>
      <c r="G69" s="8">
        <v>0</v>
      </c>
    </row>
    <row r="70" spans="1:7" x14ac:dyDescent="0.2">
      <c r="A70" s="4" t="s">
        <v>80</v>
      </c>
      <c r="B70" s="6">
        <v>193000</v>
      </c>
      <c r="C70" s="7">
        <v>193000</v>
      </c>
      <c r="D70" s="7">
        <v>0</v>
      </c>
      <c r="E70">
        <v>193000</v>
      </c>
      <c r="F70">
        <v>1</v>
      </c>
      <c r="G70" s="8">
        <v>0</v>
      </c>
    </row>
    <row r="71" spans="1:7" x14ac:dyDescent="0.2">
      <c r="A71" s="5" t="s">
        <v>81</v>
      </c>
      <c r="B71" s="6">
        <v>193000</v>
      </c>
      <c r="C71" s="7">
        <v>193000</v>
      </c>
      <c r="D71" s="7">
        <v>0</v>
      </c>
      <c r="E71">
        <v>193000</v>
      </c>
      <c r="F71">
        <v>1</v>
      </c>
      <c r="G71" s="8">
        <v>0</v>
      </c>
    </row>
    <row r="72" spans="1:7" x14ac:dyDescent="0.2">
      <c r="A72" s="4" t="s">
        <v>137</v>
      </c>
      <c r="B72" s="6">
        <v>920.19</v>
      </c>
      <c r="C72" s="7">
        <v>920.19</v>
      </c>
      <c r="D72" s="7">
        <v>0</v>
      </c>
      <c r="E72">
        <v>20.067999999999998</v>
      </c>
      <c r="F72">
        <v>158.21</v>
      </c>
      <c r="G72" s="8">
        <v>0</v>
      </c>
    </row>
    <row r="73" spans="1:7" x14ac:dyDescent="0.2">
      <c r="A73" s="5" t="s">
        <v>138</v>
      </c>
      <c r="B73" s="6">
        <v>392.29</v>
      </c>
      <c r="C73" s="7">
        <v>392.29</v>
      </c>
      <c r="D73" s="7">
        <v>0</v>
      </c>
      <c r="E73">
        <v>6.9039999999999999</v>
      </c>
      <c r="F73">
        <v>56.82</v>
      </c>
      <c r="G73" s="8">
        <v>0</v>
      </c>
    </row>
    <row r="74" spans="1:7" x14ac:dyDescent="0.2">
      <c r="A74" s="5" t="s">
        <v>140</v>
      </c>
      <c r="B74" s="6">
        <v>370.54</v>
      </c>
      <c r="C74" s="7">
        <v>370.54</v>
      </c>
      <c r="D74" s="7">
        <v>0</v>
      </c>
      <c r="E74">
        <v>4.4459999999999997</v>
      </c>
      <c r="F74">
        <v>83.34</v>
      </c>
      <c r="G74" s="8">
        <v>0</v>
      </c>
    </row>
    <row r="75" spans="1:7" x14ac:dyDescent="0.2">
      <c r="A75" s="5" t="s">
        <v>142</v>
      </c>
      <c r="B75" s="6">
        <v>157.36000000000001</v>
      </c>
      <c r="C75" s="7">
        <v>157.36000000000001</v>
      </c>
      <c r="D75" s="7">
        <v>0</v>
      </c>
      <c r="E75">
        <v>8.718</v>
      </c>
      <c r="F75">
        <v>18.05</v>
      </c>
      <c r="G75" s="8">
        <v>0</v>
      </c>
    </row>
    <row r="76" spans="1:7" x14ac:dyDescent="0.2">
      <c r="A76" s="4" t="s">
        <v>106</v>
      </c>
      <c r="B76" s="6">
        <v>68549.100000000006</v>
      </c>
      <c r="C76" s="7">
        <v>68549.100000000006</v>
      </c>
      <c r="D76" s="7">
        <v>0</v>
      </c>
      <c r="E76">
        <v>68549.100000000006</v>
      </c>
      <c r="F76">
        <v>1</v>
      </c>
      <c r="G76" s="8">
        <v>0</v>
      </c>
    </row>
    <row r="77" spans="1:7" x14ac:dyDescent="0.2">
      <c r="A77" s="5" t="s">
        <v>23</v>
      </c>
      <c r="B77" s="6">
        <v>68549.100000000006</v>
      </c>
      <c r="C77" s="7">
        <v>68549.100000000006</v>
      </c>
      <c r="D77" s="7">
        <v>0</v>
      </c>
      <c r="E77">
        <v>68549.100000000006</v>
      </c>
      <c r="F77">
        <v>1</v>
      </c>
      <c r="G77" s="8">
        <v>0</v>
      </c>
    </row>
    <row r="78" spans="1:7" x14ac:dyDescent="0.2">
      <c r="A78" s="4" t="s">
        <v>132</v>
      </c>
      <c r="B78" s="6">
        <v>1000.09</v>
      </c>
      <c r="C78" s="7">
        <v>1000.09</v>
      </c>
      <c r="D78" s="7">
        <v>0</v>
      </c>
      <c r="E78">
        <v>1000.09</v>
      </c>
      <c r="F78">
        <v>1</v>
      </c>
      <c r="G78" s="8">
        <v>0</v>
      </c>
    </row>
    <row r="79" spans="1:7" x14ac:dyDescent="0.2">
      <c r="A79" s="5" t="s">
        <v>133</v>
      </c>
      <c r="B79" s="6">
        <v>1000.09</v>
      </c>
      <c r="C79" s="7">
        <v>1000.09</v>
      </c>
      <c r="D79" s="7">
        <v>0</v>
      </c>
      <c r="E79">
        <v>1000.09</v>
      </c>
      <c r="F79">
        <v>1</v>
      </c>
      <c r="G79" s="8">
        <v>0</v>
      </c>
    </row>
    <row r="80" spans="1:7" x14ac:dyDescent="0.2">
      <c r="A80" s="4" t="s">
        <v>135</v>
      </c>
      <c r="B80" s="6">
        <v>1000</v>
      </c>
      <c r="C80" s="7">
        <v>1000</v>
      </c>
      <c r="D80" s="7">
        <v>0</v>
      </c>
      <c r="E80">
        <v>1000</v>
      </c>
      <c r="F80">
        <v>1</v>
      </c>
      <c r="G80" s="8">
        <v>0</v>
      </c>
    </row>
    <row r="81" spans="1:7" x14ac:dyDescent="0.2">
      <c r="A81" s="5" t="s">
        <v>133</v>
      </c>
      <c r="B81" s="6">
        <v>1000</v>
      </c>
      <c r="C81" s="7">
        <v>1000</v>
      </c>
      <c r="D81" s="7">
        <v>0</v>
      </c>
      <c r="E81">
        <v>1000</v>
      </c>
      <c r="F81">
        <v>1</v>
      </c>
      <c r="G81" s="8">
        <v>0</v>
      </c>
    </row>
    <row r="82" spans="1:7" x14ac:dyDescent="0.2">
      <c r="A82" s="4" t="s">
        <v>75</v>
      </c>
      <c r="B82" s="6">
        <v>300139.65000000002</v>
      </c>
      <c r="C82" s="7">
        <v>300139.65000000002</v>
      </c>
      <c r="D82" s="7">
        <v>0</v>
      </c>
      <c r="E82">
        <v>300139.65000000002</v>
      </c>
      <c r="F82">
        <v>2</v>
      </c>
      <c r="G82" s="8">
        <v>0</v>
      </c>
    </row>
    <row r="83" spans="1:7" x14ac:dyDescent="0.2">
      <c r="A83" s="5" t="s">
        <v>76</v>
      </c>
      <c r="B83" s="6">
        <v>200120.16</v>
      </c>
      <c r="C83" s="7">
        <v>200120.16</v>
      </c>
      <c r="D83" s="7">
        <v>0</v>
      </c>
      <c r="E83">
        <v>200120.16</v>
      </c>
      <c r="F83">
        <v>1</v>
      </c>
      <c r="G83" s="8">
        <v>0</v>
      </c>
    </row>
    <row r="84" spans="1:7" x14ac:dyDescent="0.2">
      <c r="A84" s="5" t="s">
        <v>78</v>
      </c>
      <c r="B84" s="6">
        <v>100019.49</v>
      </c>
      <c r="C84" s="7">
        <v>100019.49</v>
      </c>
      <c r="D84" s="7">
        <v>0</v>
      </c>
      <c r="E84">
        <v>100019.49</v>
      </c>
      <c r="F84">
        <v>1</v>
      </c>
      <c r="G84" s="8">
        <v>0</v>
      </c>
    </row>
    <row r="85" spans="1:7" x14ac:dyDescent="0.2">
      <c r="A85" s="4" t="s">
        <v>113</v>
      </c>
      <c r="B85" s="6">
        <v>15643.58</v>
      </c>
      <c r="C85" s="7">
        <v>15643.58</v>
      </c>
      <c r="D85" s="7">
        <v>0</v>
      </c>
      <c r="E85">
        <v>514.85200000000009</v>
      </c>
      <c r="F85">
        <v>832.67000000000007</v>
      </c>
      <c r="G85" s="8">
        <v>0</v>
      </c>
    </row>
    <row r="86" spans="1:7" x14ac:dyDescent="0.2">
      <c r="A86" s="5" t="s">
        <v>114</v>
      </c>
      <c r="B86" s="6">
        <v>10977.71</v>
      </c>
      <c r="C86" s="7">
        <v>10977.71</v>
      </c>
      <c r="D86" s="7">
        <v>0</v>
      </c>
      <c r="E86">
        <v>23.138999999999999</v>
      </c>
      <c r="F86">
        <v>474.42</v>
      </c>
      <c r="G86" s="8">
        <v>0</v>
      </c>
    </row>
    <row r="87" spans="1:7" x14ac:dyDescent="0.2">
      <c r="A87" s="5" t="s">
        <v>59</v>
      </c>
      <c r="B87" s="6">
        <v>2160.25</v>
      </c>
      <c r="C87" s="7">
        <v>2160.25</v>
      </c>
      <c r="D87" s="7">
        <v>0</v>
      </c>
      <c r="E87">
        <v>10.712999999999999</v>
      </c>
      <c r="F87">
        <v>201.65</v>
      </c>
      <c r="G87" s="8">
        <v>0</v>
      </c>
    </row>
    <row r="88" spans="1:7" x14ac:dyDescent="0.2">
      <c r="A88" s="5" t="s">
        <v>117</v>
      </c>
      <c r="B88" s="6">
        <v>1890.47</v>
      </c>
      <c r="C88" s="7">
        <v>1890.47</v>
      </c>
      <c r="D88" s="7">
        <v>0</v>
      </c>
      <c r="E88">
        <v>53.11</v>
      </c>
      <c r="F88">
        <v>35.6</v>
      </c>
      <c r="G88" s="8">
        <v>0</v>
      </c>
    </row>
    <row r="89" spans="1:7" x14ac:dyDescent="0.2">
      <c r="A89" s="5" t="s">
        <v>23</v>
      </c>
      <c r="B89" s="6">
        <v>423.89</v>
      </c>
      <c r="C89" s="7">
        <v>423.89</v>
      </c>
      <c r="D89" s="7">
        <v>0</v>
      </c>
      <c r="E89">
        <v>423.89</v>
      </c>
      <c r="F89">
        <v>1</v>
      </c>
      <c r="G89" s="8">
        <v>0</v>
      </c>
    </row>
    <row r="90" spans="1:7" x14ac:dyDescent="0.2">
      <c r="A90" s="5" t="s">
        <v>120</v>
      </c>
      <c r="B90" s="6">
        <v>142.52000000000001</v>
      </c>
      <c r="C90" s="7">
        <v>142.52000000000001</v>
      </c>
      <c r="D90" s="7">
        <v>0</v>
      </c>
      <c r="E90">
        <v>2</v>
      </c>
      <c r="F90">
        <v>71.260000000000005</v>
      </c>
      <c r="G90" s="8">
        <v>0</v>
      </c>
    </row>
    <row r="91" spans="1:7" x14ac:dyDescent="0.2">
      <c r="A91" s="5" t="s">
        <v>122</v>
      </c>
      <c r="B91" s="6">
        <v>35.200000000000003</v>
      </c>
      <c r="C91" s="7">
        <v>35.200000000000003</v>
      </c>
      <c r="D91" s="7">
        <v>0</v>
      </c>
      <c r="E91">
        <v>1</v>
      </c>
      <c r="F91">
        <v>35.200000000000003</v>
      </c>
      <c r="G91" s="8">
        <v>0</v>
      </c>
    </row>
    <row r="92" spans="1:7" x14ac:dyDescent="0.2">
      <c r="A92" s="5" t="s">
        <v>124</v>
      </c>
      <c r="B92" s="6">
        <v>13.54</v>
      </c>
      <c r="C92" s="7">
        <v>13.54</v>
      </c>
      <c r="D92" s="7">
        <v>0</v>
      </c>
      <c r="E92">
        <v>1</v>
      </c>
      <c r="F92">
        <v>13.54</v>
      </c>
      <c r="G92" s="8">
        <v>0</v>
      </c>
    </row>
    <row r="93" spans="1:7" x14ac:dyDescent="0.2">
      <c r="A93" s="4" t="s">
        <v>147</v>
      </c>
      <c r="B93" s="6">
        <v>29.71</v>
      </c>
      <c r="C93" s="7">
        <v>29.71</v>
      </c>
      <c r="D93" s="7">
        <v>0</v>
      </c>
      <c r="E93">
        <v>1.012</v>
      </c>
      <c r="F93">
        <v>2393.5</v>
      </c>
      <c r="G93" s="8">
        <v>0</v>
      </c>
    </row>
    <row r="94" spans="1:7" x14ac:dyDescent="0.2">
      <c r="A94" s="5" t="s">
        <v>148</v>
      </c>
      <c r="B94" s="6">
        <v>28.71</v>
      </c>
      <c r="C94" s="7">
        <v>28.71</v>
      </c>
      <c r="D94" s="7">
        <v>0</v>
      </c>
      <c r="E94">
        <v>1.2E-2</v>
      </c>
      <c r="F94">
        <v>2392.5</v>
      </c>
      <c r="G94" s="8">
        <v>0</v>
      </c>
    </row>
    <row r="95" spans="1:7" x14ac:dyDescent="0.2">
      <c r="A95" s="5" t="s">
        <v>150</v>
      </c>
      <c r="B95" s="6">
        <v>1</v>
      </c>
      <c r="C95" s="7">
        <v>1</v>
      </c>
      <c r="D95" s="7">
        <v>0</v>
      </c>
      <c r="E95">
        <v>1</v>
      </c>
      <c r="F95">
        <v>1</v>
      </c>
      <c r="G95" s="8">
        <v>0</v>
      </c>
    </row>
    <row r="96" spans="1:7" x14ac:dyDescent="0.2">
      <c r="A96" s="4" t="s">
        <v>97</v>
      </c>
      <c r="B96" s="6">
        <v>80891.740000000005</v>
      </c>
      <c r="C96" s="7">
        <v>80891.740000000005</v>
      </c>
      <c r="D96" s="7">
        <v>0</v>
      </c>
      <c r="E96">
        <v>80891.740000000005</v>
      </c>
      <c r="F96">
        <v>1</v>
      </c>
      <c r="G96" s="8">
        <v>0</v>
      </c>
    </row>
    <row r="97" spans="1:7" x14ac:dyDescent="0.2">
      <c r="A97" s="5" t="s">
        <v>23</v>
      </c>
      <c r="B97" s="6">
        <v>80891.740000000005</v>
      </c>
      <c r="C97" s="7">
        <v>80891.740000000005</v>
      </c>
      <c r="D97" s="7">
        <v>0</v>
      </c>
      <c r="E97">
        <v>80891.740000000005</v>
      </c>
      <c r="F97">
        <v>1</v>
      </c>
      <c r="G97" s="8">
        <v>0</v>
      </c>
    </row>
    <row r="98" spans="1:7" x14ac:dyDescent="0.2">
      <c r="A98" s="4" t="s">
        <v>129</v>
      </c>
      <c r="B98" s="6">
        <v>4007.12</v>
      </c>
      <c r="C98" s="7">
        <v>4007.12</v>
      </c>
      <c r="D98" s="7">
        <v>0</v>
      </c>
      <c r="E98">
        <v>4007.12</v>
      </c>
      <c r="F98">
        <v>1</v>
      </c>
      <c r="G98" s="8">
        <v>0</v>
      </c>
    </row>
    <row r="99" spans="1:7" x14ac:dyDescent="0.2">
      <c r="A99" s="5" t="s">
        <v>130</v>
      </c>
      <c r="B99" s="6">
        <v>4007.12</v>
      </c>
      <c r="C99" s="7">
        <v>4007.12</v>
      </c>
      <c r="D99" s="7">
        <v>0</v>
      </c>
      <c r="E99">
        <v>4007.12</v>
      </c>
      <c r="F99">
        <v>1</v>
      </c>
      <c r="G99" s="8">
        <v>0</v>
      </c>
    </row>
    <row r="100" spans="1:7" x14ac:dyDescent="0.2">
      <c r="A100" s="4" t="s">
        <v>107</v>
      </c>
      <c r="B100" s="6">
        <v>22903.059999999998</v>
      </c>
      <c r="C100" s="7">
        <v>22903.059999999998</v>
      </c>
      <c r="D100" s="7">
        <v>0</v>
      </c>
      <c r="E100">
        <v>736.67700000000002</v>
      </c>
      <c r="F100">
        <v>128.91</v>
      </c>
      <c r="G100" s="8">
        <v>0</v>
      </c>
    </row>
    <row r="101" spans="1:7" x14ac:dyDescent="0.2">
      <c r="A101" s="5" t="s">
        <v>108</v>
      </c>
      <c r="B101" s="6">
        <v>11696.5</v>
      </c>
      <c r="C101" s="7">
        <v>11696.5</v>
      </c>
      <c r="D101" s="7">
        <v>0</v>
      </c>
      <c r="E101">
        <v>144.11699999999999</v>
      </c>
      <c r="F101">
        <v>81.16</v>
      </c>
      <c r="G101" s="8">
        <v>0</v>
      </c>
    </row>
    <row r="102" spans="1:7" x14ac:dyDescent="0.2">
      <c r="A102" s="5" t="s">
        <v>110</v>
      </c>
      <c r="B102" s="6">
        <v>10846</v>
      </c>
      <c r="C102" s="7">
        <v>10846</v>
      </c>
      <c r="D102" s="7">
        <v>0</v>
      </c>
      <c r="E102">
        <v>232</v>
      </c>
      <c r="F102">
        <v>46.75</v>
      </c>
      <c r="G102" s="8">
        <v>0</v>
      </c>
    </row>
    <row r="103" spans="1:7" x14ac:dyDescent="0.2">
      <c r="A103" s="5" t="s">
        <v>23</v>
      </c>
      <c r="B103" s="6">
        <v>360.56</v>
      </c>
      <c r="C103" s="7">
        <v>360.56</v>
      </c>
      <c r="D103" s="7">
        <v>0</v>
      </c>
      <c r="E103">
        <v>360.56</v>
      </c>
      <c r="F103">
        <v>1</v>
      </c>
      <c r="G103" s="8">
        <v>0</v>
      </c>
    </row>
    <row r="104" spans="1:7" x14ac:dyDescent="0.2">
      <c r="A104" s="4" t="s">
        <v>99</v>
      </c>
      <c r="B104" s="6">
        <v>71152.42</v>
      </c>
      <c r="C104" s="7">
        <v>71152.42</v>
      </c>
      <c r="D104" s="7">
        <v>0</v>
      </c>
      <c r="E104">
        <v>70346.38900000001</v>
      </c>
      <c r="F104">
        <v>718.57999999999993</v>
      </c>
      <c r="G104" s="8">
        <v>0</v>
      </c>
    </row>
    <row r="105" spans="1:7" x14ac:dyDescent="0.2">
      <c r="A105" s="5" t="s">
        <v>100</v>
      </c>
      <c r="B105" s="6">
        <v>70343.490000000005</v>
      </c>
      <c r="C105" s="7">
        <v>70343.490000000005</v>
      </c>
      <c r="D105" s="7">
        <v>0</v>
      </c>
      <c r="E105">
        <v>70343.490000000005</v>
      </c>
      <c r="F105">
        <v>1</v>
      </c>
      <c r="G105" s="8">
        <v>0</v>
      </c>
    </row>
    <row r="106" spans="1:7" x14ac:dyDescent="0.2">
      <c r="A106" s="5" t="s">
        <v>9</v>
      </c>
      <c r="B106" s="6">
        <v>753.32</v>
      </c>
      <c r="C106" s="7">
        <v>753.32</v>
      </c>
      <c r="D106" s="7">
        <v>0</v>
      </c>
      <c r="E106">
        <v>1.145</v>
      </c>
      <c r="F106">
        <v>657.92</v>
      </c>
      <c r="G106" s="8">
        <v>0</v>
      </c>
    </row>
    <row r="107" spans="1:7" x14ac:dyDescent="0.2">
      <c r="A107" s="5" t="s">
        <v>103</v>
      </c>
      <c r="B107" s="6">
        <v>54.79</v>
      </c>
      <c r="C107" s="7">
        <v>54.79</v>
      </c>
      <c r="D107" s="7">
        <v>0</v>
      </c>
      <c r="E107">
        <v>0.93400000000000005</v>
      </c>
      <c r="F107">
        <v>58.66</v>
      </c>
      <c r="G107" s="8">
        <v>0</v>
      </c>
    </row>
    <row r="108" spans="1:7" x14ac:dyDescent="0.2">
      <c r="A108" s="5" t="s">
        <v>23</v>
      </c>
      <c r="B108" s="6">
        <v>0.82</v>
      </c>
      <c r="C108" s="7">
        <v>0.82</v>
      </c>
      <c r="D108" s="7">
        <v>0</v>
      </c>
      <c r="E108">
        <v>0.82</v>
      </c>
      <c r="F108">
        <v>1</v>
      </c>
      <c r="G108" s="8">
        <v>0</v>
      </c>
    </row>
    <row r="109" spans="1:7" x14ac:dyDescent="0.2">
      <c r="A109" s="4" t="s">
        <v>152</v>
      </c>
      <c r="B109" s="6">
        <v>0.76</v>
      </c>
      <c r="C109" s="7">
        <v>0.76</v>
      </c>
      <c r="D109" s="7">
        <v>0</v>
      </c>
      <c r="E109">
        <v>0.76</v>
      </c>
      <c r="F109">
        <v>2</v>
      </c>
      <c r="G109" s="8">
        <v>0</v>
      </c>
    </row>
    <row r="110" spans="1:7" x14ac:dyDescent="0.2">
      <c r="A110" s="5" t="s">
        <v>153</v>
      </c>
      <c r="B110" s="6">
        <v>0.38</v>
      </c>
      <c r="C110" s="7">
        <v>0.38</v>
      </c>
      <c r="D110" s="7">
        <v>0</v>
      </c>
      <c r="E110">
        <v>0.38</v>
      </c>
      <c r="F110">
        <v>1</v>
      </c>
      <c r="G110" s="8">
        <v>0</v>
      </c>
    </row>
    <row r="111" spans="1:7" x14ac:dyDescent="0.2">
      <c r="A111" s="5" t="s">
        <v>155</v>
      </c>
      <c r="B111" s="6">
        <v>0.38</v>
      </c>
      <c r="C111" s="7">
        <v>0.38</v>
      </c>
      <c r="D111" s="7">
        <v>0</v>
      </c>
      <c r="E111">
        <v>0.38</v>
      </c>
      <c r="F111">
        <v>1</v>
      </c>
      <c r="G111" s="8">
        <v>0</v>
      </c>
    </row>
    <row r="112" spans="1:7" x14ac:dyDescent="0.2">
      <c r="A112" s="4" t="s">
        <v>93</v>
      </c>
      <c r="B112" s="6">
        <v>86897</v>
      </c>
      <c r="C112" s="7">
        <v>88333</v>
      </c>
      <c r="D112" s="7">
        <v>-1436</v>
      </c>
      <c r="E112">
        <v>86897</v>
      </c>
      <c r="F112">
        <v>2</v>
      </c>
      <c r="G112" s="8">
        <v>-1.6525311575773617E-2</v>
      </c>
    </row>
    <row r="113" spans="1:7" x14ac:dyDescent="0.2">
      <c r="A113" s="5" t="s">
        <v>23</v>
      </c>
      <c r="B113" s="6">
        <v>70333</v>
      </c>
      <c r="C113" s="7">
        <v>70333</v>
      </c>
      <c r="D113" s="7">
        <v>0</v>
      </c>
      <c r="E113">
        <v>70333</v>
      </c>
      <c r="F113">
        <v>1</v>
      </c>
      <c r="G113" s="8">
        <v>0</v>
      </c>
    </row>
    <row r="114" spans="1:7" x14ac:dyDescent="0.2">
      <c r="A114" s="5" t="s">
        <v>95</v>
      </c>
      <c r="B114" s="6">
        <v>16564</v>
      </c>
      <c r="C114" s="7">
        <v>18000</v>
      </c>
      <c r="D114" s="7">
        <v>-1436</v>
      </c>
      <c r="E114">
        <v>16564</v>
      </c>
      <c r="F114">
        <v>1</v>
      </c>
      <c r="G114" s="8">
        <v>-8.6694035257184249E-2</v>
      </c>
    </row>
    <row r="115" spans="1:7" x14ac:dyDescent="0.2">
      <c r="A115" s="4" t="s">
        <v>157</v>
      </c>
      <c r="B115" s="6"/>
      <c r="C115" s="7"/>
      <c r="D115" s="7"/>
      <c r="G115" s="8" t="e">
        <v>#DIV/0!</v>
      </c>
    </row>
    <row r="116" spans="1:7" x14ac:dyDescent="0.2">
      <c r="A116" s="5" t="s">
        <v>157</v>
      </c>
      <c r="B116" s="6"/>
      <c r="C116" s="7"/>
      <c r="D116" s="7"/>
      <c r="G116" s="8" t="e">
        <v>#DIV/0!</v>
      </c>
    </row>
    <row r="117" spans="1:7" x14ac:dyDescent="0.2">
      <c r="A117" s="4" t="s">
        <v>158</v>
      </c>
      <c r="B117" s="6">
        <v>5818449.8799999999</v>
      </c>
      <c r="C117" s="7">
        <v>3949239.3100000005</v>
      </c>
      <c r="D117" s="7">
        <v>1869210.5700000003</v>
      </c>
      <c r="E117">
        <v>1319848.4989999996</v>
      </c>
      <c r="F117">
        <v>15807.870000000004</v>
      </c>
      <c r="G117" s="8">
        <v>0.32125576546171097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zoomScale="133" workbookViewId="0">
      <selection activeCell="I12" sqref="I12"/>
    </sheetView>
  </sheetViews>
  <sheetFormatPr baseColWidth="10" defaultColWidth="8.83203125" defaultRowHeight="15" x14ac:dyDescent="0.2"/>
  <cols>
    <col min="1" max="1" width="36.33203125" bestFit="1" customWidth="1"/>
    <col min="2" max="2" width="10.5" bestFit="1" customWidth="1"/>
    <col min="3" max="3" width="37.33203125" bestFit="1" customWidth="1"/>
    <col min="4" max="4" width="7.1640625" bestFit="1" customWidth="1"/>
    <col min="5" max="5" width="10.1640625" bestFit="1" customWidth="1"/>
    <col min="6" max="6" width="18.5" style="3" bestFit="1" customWidth="1"/>
    <col min="7" max="7" width="11.1640625" style="3" bestFit="1" customWidth="1"/>
    <col min="8" max="8" width="13.6640625" style="3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657.92</v>
      </c>
      <c r="E2">
        <v>465.79500000000002</v>
      </c>
      <c r="F2" s="3">
        <v>199728.12</v>
      </c>
      <c r="G2" s="3">
        <v>106727.73</v>
      </c>
      <c r="H2" s="3">
        <v>306455.84999999998</v>
      </c>
    </row>
    <row r="3" spans="1:8" x14ac:dyDescent="0.2">
      <c r="A3" t="s">
        <v>8</v>
      </c>
      <c r="B3" t="s">
        <v>11</v>
      </c>
      <c r="C3" t="s">
        <v>12</v>
      </c>
      <c r="D3">
        <v>170.66</v>
      </c>
      <c r="E3">
        <v>1684.6369999999999</v>
      </c>
      <c r="F3" s="3">
        <v>176226.71</v>
      </c>
      <c r="G3" s="3">
        <v>111273.44</v>
      </c>
      <c r="H3" s="3">
        <v>287500.15000000002</v>
      </c>
    </row>
    <row r="4" spans="1:8" x14ac:dyDescent="0.2">
      <c r="A4" t="s">
        <v>8</v>
      </c>
      <c r="B4" t="s">
        <v>13</v>
      </c>
      <c r="C4" t="s">
        <v>14</v>
      </c>
      <c r="D4">
        <v>805.58</v>
      </c>
      <c r="E4">
        <v>338.91300000000001</v>
      </c>
      <c r="F4" s="3">
        <v>176274.14</v>
      </c>
      <c r="G4" s="3">
        <v>96747.07</v>
      </c>
      <c r="H4" s="3">
        <v>273021.21000000002</v>
      </c>
    </row>
    <row r="5" spans="1:8" x14ac:dyDescent="0.2">
      <c r="A5" t="s">
        <v>8</v>
      </c>
      <c r="B5" t="s">
        <v>15</v>
      </c>
      <c r="C5" t="s">
        <v>16</v>
      </c>
      <c r="D5">
        <v>165.01</v>
      </c>
      <c r="E5">
        <v>1600.2819999999999</v>
      </c>
      <c r="F5" s="3">
        <v>180208.59</v>
      </c>
      <c r="G5" s="3">
        <v>83853.940000000031</v>
      </c>
      <c r="H5" s="3">
        <v>264062.53000000003</v>
      </c>
    </row>
    <row r="6" spans="1:8" x14ac:dyDescent="0.2">
      <c r="A6" t="s">
        <v>8</v>
      </c>
      <c r="B6" t="s">
        <v>17</v>
      </c>
      <c r="C6" t="s">
        <v>18</v>
      </c>
      <c r="D6">
        <v>254.27</v>
      </c>
      <c r="E6">
        <v>1008.585</v>
      </c>
      <c r="F6" s="3">
        <v>145309.54</v>
      </c>
      <c r="G6" s="3">
        <v>111143.37</v>
      </c>
      <c r="H6" s="3">
        <v>256452.91</v>
      </c>
    </row>
    <row r="7" spans="1:8" x14ac:dyDescent="0.2">
      <c r="A7" t="s">
        <v>8</v>
      </c>
      <c r="B7" t="s">
        <v>19</v>
      </c>
      <c r="C7" t="s">
        <v>20</v>
      </c>
      <c r="D7">
        <v>380.25</v>
      </c>
      <c r="E7">
        <v>314.36</v>
      </c>
      <c r="F7" s="3">
        <v>62272.56</v>
      </c>
      <c r="G7" s="3">
        <v>57262.83</v>
      </c>
      <c r="H7" s="3">
        <v>119535.39</v>
      </c>
    </row>
    <row r="8" spans="1:8" x14ac:dyDescent="0.2">
      <c r="A8" t="s">
        <v>8</v>
      </c>
      <c r="B8" t="s">
        <v>21</v>
      </c>
      <c r="C8" t="s">
        <v>22</v>
      </c>
      <c r="D8">
        <v>278.45</v>
      </c>
      <c r="E8">
        <v>367.98</v>
      </c>
      <c r="F8" s="3">
        <v>50073.57</v>
      </c>
      <c r="G8" s="3">
        <v>52390.49</v>
      </c>
      <c r="H8" s="3">
        <v>102464.06</v>
      </c>
    </row>
    <row r="9" spans="1:8" x14ac:dyDescent="0.2">
      <c r="A9" t="s">
        <v>8</v>
      </c>
      <c r="B9" t="s">
        <v>23</v>
      </c>
      <c r="C9" t="s">
        <v>24</v>
      </c>
      <c r="D9">
        <v>1</v>
      </c>
      <c r="E9">
        <v>100000.6</v>
      </c>
      <c r="F9" s="3">
        <v>0</v>
      </c>
      <c r="G9" s="3">
        <v>100000.6</v>
      </c>
      <c r="H9" s="3">
        <v>100000.6</v>
      </c>
    </row>
    <row r="10" spans="1:8" x14ac:dyDescent="0.2">
      <c r="A10" t="s">
        <v>8</v>
      </c>
      <c r="B10" t="s">
        <v>25</v>
      </c>
      <c r="C10" t="s">
        <v>26</v>
      </c>
      <c r="D10">
        <v>415.92</v>
      </c>
      <c r="E10">
        <v>187.499</v>
      </c>
      <c r="F10" s="3">
        <v>17544.330000000002</v>
      </c>
      <c r="G10" s="3">
        <v>60440.38</v>
      </c>
      <c r="H10" s="3">
        <v>77984.710000000006</v>
      </c>
    </row>
    <row r="11" spans="1:8" x14ac:dyDescent="0.2">
      <c r="A11" t="s">
        <v>8</v>
      </c>
      <c r="B11" t="s">
        <v>27</v>
      </c>
      <c r="C11" t="s">
        <v>28</v>
      </c>
      <c r="D11">
        <v>155.11000000000001</v>
      </c>
      <c r="E11">
        <v>420.923</v>
      </c>
      <c r="F11" s="3">
        <v>3480.83</v>
      </c>
      <c r="G11" s="3">
        <v>61808.46</v>
      </c>
      <c r="H11" s="3">
        <v>65289.29</v>
      </c>
    </row>
    <row r="12" spans="1:8" x14ac:dyDescent="0.2">
      <c r="A12" t="s">
        <v>8</v>
      </c>
      <c r="B12" t="s">
        <v>29</v>
      </c>
      <c r="C12" t="s">
        <v>30</v>
      </c>
      <c r="D12">
        <v>31.05</v>
      </c>
      <c r="E12">
        <v>1625</v>
      </c>
      <c r="F12" s="3">
        <v>487.65</v>
      </c>
      <c r="G12" s="3">
        <v>49968.6</v>
      </c>
      <c r="H12" s="3">
        <v>50456.25</v>
      </c>
    </row>
    <row r="13" spans="1:8" x14ac:dyDescent="0.2">
      <c r="A13" t="s">
        <v>8</v>
      </c>
      <c r="B13" t="s">
        <v>31</v>
      </c>
      <c r="C13" t="s">
        <v>32</v>
      </c>
      <c r="D13">
        <v>400.62</v>
      </c>
      <c r="E13">
        <v>105</v>
      </c>
      <c r="F13" s="3">
        <v>32013.69</v>
      </c>
      <c r="G13" s="3">
        <v>10051.41</v>
      </c>
      <c r="H13" s="3">
        <v>42065.1</v>
      </c>
    </row>
    <row r="14" spans="1:8" x14ac:dyDescent="0.2">
      <c r="A14" t="s">
        <v>8</v>
      </c>
      <c r="B14" t="s">
        <v>33</v>
      </c>
      <c r="C14" t="s">
        <v>34</v>
      </c>
      <c r="D14">
        <v>270.23</v>
      </c>
      <c r="E14">
        <v>119.492</v>
      </c>
      <c r="F14" s="3">
        <v>23563.46</v>
      </c>
      <c r="G14" s="3">
        <v>8726.86</v>
      </c>
      <c r="H14" s="3">
        <v>32290.32</v>
      </c>
    </row>
    <row r="15" spans="1:8" x14ac:dyDescent="0.2">
      <c r="A15" t="s">
        <v>8</v>
      </c>
      <c r="B15" t="s">
        <v>35</v>
      </c>
      <c r="C15" t="s">
        <v>36</v>
      </c>
      <c r="D15">
        <v>398.59</v>
      </c>
      <c r="E15">
        <v>68.808999999999997</v>
      </c>
      <c r="F15" s="3">
        <v>1131.02</v>
      </c>
      <c r="G15" s="3">
        <v>26295.64</v>
      </c>
      <c r="H15" s="3">
        <v>27426.66</v>
      </c>
    </row>
    <row r="16" spans="1:8" x14ac:dyDescent="0.2">
      <c r="A16" t="s">
        <v>8</v>
      </c>
      <c r="B16" t="s">
        <v>37</v>
      </c>
      <c r="C16" t="s">
        <v>38</v>
      </c>
      <c r="D16">
        <v>652.78</v>
      </c>
      <c r="E16">
        <v>20.247</v>
      </c>
      <c r="F16" s="3">
        <v>2686.39</v>
      </c>
      <c r="G16" s="3">
        <v>10530.45</v>
      </c>
      <c r="H16" s="3">
        <v>13216.84</v>
      </c>
    </row>
    <row r="17" spans="1:8" x14ac:dyDescent="0.2">
      <c r="A17" t="s">
        <v>39</v>
      </c>
      <c r="B17" t="s">
        <v>9</v>
      </c>
      <c r="C17" t="s">
        <v>10</v>
      </c>
      <c r="D17">
        <v>657.92</v>
      </c>
      <c r="E17">
        <v>458.70299999999997</v>
      </c>
      <c r="F17" s="3">
        <v>114272.41</v>
      </c>
      <c r="G17" s="3">
        <v>187517.47</v>
      </c>
      <c r="H17" s="3">
        <v>301789.88</v>
      </c>
    </row>
    <row r="18" spans="1:8" x14ac:dyDescent="0.2">
      <c r="A18" t="s">
        <v>39</v>
      </c>
      <c r="B18" t="s">
        <v>37</v>
      </c>
      <c r="C18" t="s">
        <v>38</v>
      </c>
      <c r="D18">
        <v>652.78</v>
      </c>
      <c r="E18">
        <v>238.02600000000001</v>
      </c>
      <c r="F18" s="3">
        <v>6472.2</v>
      </c>
      <c r="G18" s="3">
        <v>148906.54</v>
      </c>
      <c r="H18" s="3">
        <v>155378.74</v>
      </c>
    </row>
    <row r="19" spans="1:8" x14ac:dyDescent="0.2">
      <c r="A19" t="s">
        <v>39</v>
      </c>
      <c r="B19" t="s">
        <v>11</v>
      </c>
      <c r="C19" t="s">
        <v>12</v>
      </c>
      <c r="D19">
        <v>170.66</v>
      </c>
      <c r="E19">
        <v>876.82299999999998</v>
      </c>
      <c r="F19" s="3">
        <v>52572.67</v>
      </c>
      <c r="G19" s="3">
        <v>97065.939999999988</v>
      </c>
      <c r="H19" s="3">
        <v>149638.60999999999</v>
      </c>
    </row>
    <row r="20" spans="1:8" x14ac:dyDescent="0.2">
      <c r="A20" t="s">
        <v>39</v>
      </c>
      <c r="B20" t="s">
        <v>40</v>
      </c>
      <c r="C20" t="s">
        <v>41</v>
      </c>
      <c r="D20">
        <v>83.75</v>
      </c>
      <c r="E20">
        <v>945.43399999999997</v>
      </c>
      <c r="F20" s="3">
        <v>6044.35</v>
      </c>
      <c r="G20" s="3">
        <v>73135.709999999992</v>
      </c>
      <c r="H20" s="3">
        <v>79180.06</v>
      </c>
    </row>
    <row r="21" spans="1:8" x14ac:dyDescent="0.2">
      <c r="A21" t="s">
        <v>39</v>
      </c>
      <c r="B21" t="s">
        <v>42</v>
      </c>
      <c r="C21" t="s">
        <v>43</v>
      </c>
      <c r="D21">
        <v>150.84</v>
      </c>
      <c r="E21">
        <v>470.03300000000002</v>
      </c>
      <c r="F21" s="3">
        <v>2510.92</v>
      </c>
      <c r="G21" s="3">
        <v>68388.81</v>
      </c>
      <c r="H21" s="3">
        <v>70899.73</v>
      </c>
    </row>
    <row r="22" spans="1:8" x14ac:dyDescent="0.2">
      <c r="A22" t="s">
        <v>39</v>
      </c>
      <c r="B22" t="s">
        <v>17</v>
      </c>
      <c r="C22" t="s">
        <v>18</v>
      </c>
      <c r="D22">
        <v>254.27</v>
      </c>
      <c r="E22">
        <v>242.59</v>
      </c>
      <c r="F22" s="3">
        <v>24142.12</v>
      </c>
      <c r="G22" s="3">
        <v>37541.240000000013</v>
      </c>
      <c r="H22" s="3">
        <v>61683.360000000001</v>
      </c>
    </row>
    <row r="23" spans="1:8" x14ac:dyDescent="0.2">
      <c r="A23" t="s">
        <v>39</v>
      </c>
      <c r="B23" t="s">
        <v>23</v>
      </c>
      <c r="C23" t="s">
        <v>24</v>
      </c>
      <c r="D23">
        <v>1</v>
      </c>
      <c r="E23">
        <v>50054.78</v>
      </c>
      <c r="F23" s="3">
        <v>0</v>
      </c>
      <c r="G23" s="3">
        <v>50054.78</v>
      </c>
      <c r="H23" s="3">
        <v>50054.78</v>
      </c>
    </row>
    <row r="24" spans="1:8" x14ac:dyDescent="0.2">
      <c r="A24" t="s">
        <v>39</v>
      </c>
      <c r="B24" t="s">
        <v>27</v>
      </c>
      <c r="C24" t="s">
        <v>28</v>
      </c>
      <c r="D24">
        <v>155.11000000000001</v>
      </c>
      <c r="E24">
        <v>296.17399999999998</v>
      </c>
      <c r="F24" s="3">
        <v>939.56</v>
      </c>
      <c r="G24" s="3">
        <v>44999.990000000013</v>
      </c>
      <c r="H24" s="3">
        <v>45939.55</v>
      </c>
    </row>
    <row r="25" spans="1:8" x14ac:dyDescent="0.2">
      <c r="A25" t="s">
        <v>39</v>
      </c>
      <c r="B25" t="s">
        <v>29</v>
      </c>
      <c r="C25" t="s">
        <v>30</v>
      </c>
      <c r="D25">
        <v>31.05</v>
      </c>
      <c r="E25">
        <v>1477</v>
      </c>
      <c r="F25" s="3">
        <v>588.86</v>
      </c>
      <c r="G25" s="3">
        <v>45271.99</v>
      </c>
      <c r="H25" s="3">
        <v>45860.85</v>
      </c>
    </row>
    <row r="26" spans="1:8" x14ac:dyDescent="0.2">
      <c r="A26" t="s">
        <v>39</v>
      </c>
      <c r="B26" t="s">
        <v>44</v>
      </c>
      <c r="C26" t="s">
        <v>45</v>
      </c>
      <c r="D26">
        <v>55.25</v>
      </c>
      <c r="E26">
        <v>563.29899999999998</v>
      </c>
      <c r="F26" s="3">
        <v>6043.14</v>
      </c>
      <c r="G26" s="3">
        <v>25079.13</v>
      </c>
      <c r="H26" s="3">
        <v>31122.27</v>
      </c>
    </row>
    <row r="27" spans="1:8" x14ac:dyDescent="0.2">
      <c r="A27" t="s">
        <v>46</v>
      </c>
      <c r="B27" t="s">
        <v>47</v>
      </c>
      <c r="C27" t="s">
        <v>48</v>
      </c>
      <c r="D27">
        <v>73.92</v>
      </c>
      <c r="E27">
        <v>4736.4669999999996</v>
      </c>
      <c r="F27" s="3">
        <v>128429.86</v>
      </c>
      <c r="G27" s="3">
        <v>221682.64</v>
      </c>
      <c r="H27" s="3">
        <v>350112.5</v>
      </c>
    </row>
    <row r="28" spans="1:8" x14ac:dyDescent="0.2">
      <c r="A28" t="s">
        <v>46</v>
      </c>
      <c r="B28" t="s">
        <v>49</v>
      </c>
      <c r="C28" t="s">
        <v>50</v>
      </c>
      <c r="D28">
        <v>1</v>
      </c>
      <c r="E28">
        <v>213631.55</v>
      </c>
      <c r="F28" s="3">
        <v>0</v>
      </c>
      <c r="G28" s="3">
        <v>213631.55</v>
      </c>
      <c r="H28" s="3">
        <v>213631.55</v>
      </c>
    </row>
    <row r="29" spans="1:8" x14ac:dyDescent="0.2">
      <c r="A29" t="s">
        <v>46</v>
      </c>
      <c r="B29" t="s">
        <v>51</v>
      </c>
      <c r="C29" t="s">
        <v>52</v>
      </c>
      <c r="D29">
        <v>38.770000000000003</v>
      </c>
      <c r="E29">
        <v>5307.7610000000004</v>
      </c>
      <c r="F29" s="3">
        <v>50081.97</v>
      </c>
      <c r="G29" s="3">
        <v>155694.1</v>
      </c>
      <c r="H29" s="3">
        <v>205776.07</v>
      </c>
    </row>
    <row r="30" spans="1:8" x14ac:dyDescent="0.2">
      <c r="A30" t="s">
        <v>46</v>
      </c>
      <c r="B30" t="s">
        <v>53</v>
      </c>
      <c r="C30" t="s">
        <v>54</v>
      </c>
      <c r="D30">
        <v>76.23</v>
      </c>
      <c r="E30">
        <v>19.385000000000002</v>
      </c>
      <c r="F30" s="3">
        <v>59.240000000000009</v>
      </c>
      <c r="G30" s="3">
        <v>1418.45</v>
      </c>
      <c r="H30" s="3">
        <v>1477.69</v>
      </c>
    </row>
    <row r="31" spans="1:8" x14ac:dyDescent="0.2">
      <c r="A31" t="s">
        <v>55</v>
      </c>
      <c r="B31" t="s">
        <v>56</v>
      </c>
      <c r="C31" t="s">
        <v>57</v>
      </c>
      <c r="D31">
        <v>249.33</v>
      </c>
      <c r="E31">
        <v>526.80999999999995</v>
      </c>
      <c r="F31" s="3">
        <v>46862.54</v>
      </c>
      <c r="G31" s="3">
        <v>84486.99</v>
      </c>
      <c r="H31" s="3">
        <v>131349.53</v>
      </c>
    </row>
    <row r="32" spans="1:8" x14ac:dyDescent="0.2">
      <c r="A32" t="s">
        <v>55</v>
      </c>
      <c r="B32" t="s">
        <v>40</v>
      </c>
      <c r="C32" t="s">
        <v>58</v>
      </c>
      <c r="D32">
        <v>82.34</v>
      </c>
      <c r="E32">
        <v>937.84699999999998</v>
      </c>
      <c r="F32" s="3">
        <v>4975.93</v>
      </c>
      <c r="G32" s="3">
        <v>72246.39</v>
      </c>
      <c r="H32" s="3">
        <v>77222.320000000007</v>
      </c>
    </row>
    <row r="33" spans="1:8" x14ac:dyDescent="0.2">
      <c r="A33" t="s">
        <v>55</v>
      </c>
      <c r="B33" t="s">
        <v>31</v>
      </c>
      <c r="C33" t="s">
        <v>32</v>
      </c>
      <c r="D33">
        <v>378.67</v>
      </c>
      <c r="E33">
        <v>190</v>
      </c>
      <c r="F33" s="3">
        <v>27963.5</v>
      </c>
      <c r="G33" s="3">
        <v>43983.8</v>
      </c>
      <c r="H33" s="3">
        <v>71947.3</v>
      </c>
    </row>
    <row r="34" spans="1:8" x14ac:dyDescent="0.2">
      <c r="A34" t="s">
        <v>55</v>
      </c>
      <c r="B34" t="s">
        <v>59</v>
      </c>
      <c r="C34" t="s">
        <v>60</v>
      </c>
      <c r="D34">
        <v>216.61</v>
      </c>
      <c r="E34">
        <v>253.87899999999999</v>
      </c>
      <c r="F34" s="3">
        <v>36585.33</v>
      </c>
      <c r="G34" s="3">
        <v>18407.400000000001</v>
      </c>
      <c r="H34" s="3">
        <v>54992.73</v>
      </c>
    </row>
    <row r="35" spans="1:8" x14ac:dyDescent="0.2">
      <c r="A35" t="s">
        <v>55</v>
      </c>
      <c r="B35" t="s">
        <v>29</v>
      </c>
      <c r="C35" t="s">
        <v>61</v>
      </c>
      <c r="D35">
        <v>31.13</v>
      </c>
      <c r="E35">
        <v>1681.883</v>
      </c>
      <c r="F35" s="3">
        <v>714.57</v>
      </c>
      <c r="G35" s="3">
        <v>51642.44</v>
      </c>
      <c r="H35" s="3">
        <v>52357.01</v>
      </c>
    </row>
    <row r="36" spans="1:8" x14ac:dyDescent="0.2">
      <c r="A36" t="s">
        <v>55</v>
      </c>
      <c r="B36" t="s">
        <v>62</v>
      </c>
      <c r="C36" t="s">
        <v>63</v>
      </c>
      <c r="D36">
        <v>57.5</v>
      </c>
      <c r="E36">
        <v>637.21799999999996</v>
      </c>
      <c r="F36" s="3">
        <v>16969.75</v>
      </c>
      <c r="G36" s="3">
        <v>19670.28</v>
      </c>
      <c r="H36" s="3">
        <v>36640.03</v>
      </c>
    </row>
    <row r="37" spans="1:8" x14ac:dyDescent="0.2">
      <c r="A37" t="s">
        <v>55</v>
      </c>
      <c r="B37" t="s">
        <v>33</v>
      </c>
      <c r="C37" t="s">
        <v>34</v>
      </c>
      <c r="D37">
        <v>267.61</v>
      </c>
      <c r="E37">
        <v>100.926</v>
      </c>
      <c r="F37" s="3">
        <v>10288.709999999999</v>
      </c>
      <c r="G37" s="3">
        <v>16720.09</v>
      </c>
      <c r="H37" s="3">
        <v>27008.799999999999</v>
      </c>
    </row>
    <row r="38" spans="1:8" x14ac:dyDescent="0.2">
      <c r="A38" t="s">
        <v>55</v>
      </c>
      <c r="B38" t="s">
        <v>64</v>
      </c>
      <c r="C38" t="s">
        <v>65</v>
      </c>
      <c r="D38">
        <v>506.26</v>
      </c>
      <c r="E38">
        <v>36.466999999999999</v>
      </c>
      <c r="F38" s="3">
        <v>8544.11</v>
      </c>
      <c r="G38" s="3">
        <v>9917.67</v>
      </c>
      <c r="H38" s="3">
        <v>18461.78</v>
      </c>
    </row>
    <row r="39" spans="1:8" x14ac:dyDescent="0.2">
      <c r="A39" t="s">
        <v>55</v>
      </c>
      <c r="B39" t="s">
        <v>66</v>
      </c>
      <c r="C39" t="s">
        <v>67</v>
      </c>
      <c r="D39">
        <v>131.88999999999999</v>
      </c>
      <c r="E39">
        <v>122.17</v>
      </c>
      <c r="F39" s="3">
        <v>5437.49</v>
      </c>
      <c r="G39" s="3">
        <v>10675.51</v>
      </c>
      <c r="H39" s="3">
        <v>16113</v>
      </c>
    </row>
    <row r="40" spans="1:8" x14ac:dyDescent="0.2">
      <c r="A40" t="s">
        <v>55</v>
      </c>
      <c r="B40" t="s">
        <v>68</v>
      </c>
      <c r="C40" t="s">
        <v>69</v>
      </c>
      <c r="D40">
        <v>248.85</v>
      </c>
      <c r="E40">
        <v>59.395000000000003</v>
      </c>
      <c r="F40" s="3">
        <v>4716.66</v>
      </c>
      <c r="G40" s="3">
        <v>10063.780000000001</v>
      </c>
      <c r="H40" s="3">
        <v>14780.44</v>
      </c>
    </row>
    <row r="41" spans="1:8" x14ac:dyDescent="0.2">
      <c r="A41" t="s">
        <v>55</v>
      </c>
      <c r="B41" t="s">
        <v>70</v>
      </c>
      <c r="C41" t="s">
        <v>71</v>
      </c>
      <c r="D41">
        <v>1</v>
      </c>
      <c r="E41">
        <v>64.33</v>
      </c>
      <c r="F41" s="3">
        <v>0</v>
      </c>
      <c r="G41" s="3">
        <v>64.33</v>
      </c>
      <c r="H41" s="3">
        <v>64.33</v>
      </c>
    </row>
    <row r="42" spans="1:8" x14ac:dyDescent="0.2">
      <c r="A42" t="s">
        <v>72</v>
      </c>
      <c r="B42" t="s">
        <v>9</v>
      </c>
      <c r="C42" t="s">
        <v>10</v>
      </c>
      <c r="D42">
        <v>657.92</v>
      </c>
      <c r="E42">
        <v>203.79599999999999</v>
      </c>
      <c r="F42" s="3">
        <v>75756.7</v>
      </c>
      <c r="G42" s="3">
        <v>58324.759999999987</v>
      </c>
      <c r="H42" s="3">
        <v>134081.46</v>
      </c>
    </row>
    <row r="43" spans="1:8" x14ac:dyDescent="0.2">
      <c r="A43" t="s">
        <v>72</v>
      </c>
      <c r="B43" t="s">
        <v>17</v>
      </c>
      <c r="C43" t="s">
        <v>18</v>
      </c>
      <c r="D43">
        <v>254.27</v>
      </c>
      <c r="E43">
        <v>473.25400000000002</v>
      </c>
      <c r="F43" s="3">
        <v>57320.45</v>
      </c>
      <c r="G43" s="3">
        <v>63013.84</v>
      </c>
      <c r="H43" s="3">
        <v>120334.29</v>
      </c>
    </row>
    <row r="44" spans="1:8" x14ac:dyDescent="0.2">
      <c r="A44" t="s">
        <v>72</v>
      </c>
      <c r="B44" t="s">
        <v>11</v>
      </c>
      <c r="C44" t="s">
        <v>12</v>
      </c>
      <c r="D44">
        <v>170.66</v>
      </c>
      <c r="E44">
        <v>687.14599999999996</v>
      </c>
      <c r="F44" s="3">
        <v>64886.39</v>
      </c>
      <c r="G44" s="3">
        <v>52381.95</v>
      </c>
      <c r="H44" s="3">
        <v>117268.34</v>
      </c>
    </row>
    <row r="45" spans="1:8" x14ac:dyDescent="0.2">
      <c r="A45" t="s">
        <v>72</v>
      </c>
      <c r="B45" t="s">
        <v>19</v>
      </c>
      <c r="C45" t="s">
        <v>20</v>
      </c>
      <c r="D45">
        <v>380.25</v>
      </c>
      <c r="E45">
        <v>145.38300000000001</v>
      </c>
      <c r="F45" s="3">
        <v>24248.34</v>
      </c>
      <c r="G45" s="3">
        <v>31033.55</v>
      </c>
      <c r="H45" s="3">
        <v>55281.89</v>
      </c>
    </row>
    <row r="46" spans="1:8" x14ac:dyDescent="0.2">
      <c r="A46" t="s">
        <v>72</v>
      </c>
      <c r="B46" t="s">
        <v>73</v>
      </c>
      <c r="C46" t="s">
        <v>74</v>
      </c>
      <c r="D46">
        <v>122.12</v>
      </c>
      <c r="E46">
        <v>336.09500000000003</v>
      </c>
      <c r="F46" s="3">
        <v>14850.97</v>
      </c>
      <c r="G46" s="3">
        <v>26192.95</v>
      </c>
      <c r="H46" s="3">
        <v>41043.919999999998</v>
      </c>
    </row>
    <row r="47" spans="1:8" x14ac:dyDescent="0.2">
      <c r="A47" t="s">
        <v>72</v>
      </c>
      <c r="B47" t="s">
        <v>23</v>
      </c>
      <c r="C47" t="s">
        <v>24</v>
      </c>
      <c r="D47">
        <v>1</v>
      </c>
      <c r="E47">
        <v>14.7</v>
      </c>
      <c r="F47" s="3">
        <v>0</v>
      </c>
      <c r="G47" s="3">
        <v>14.7</v>
      </c>
      <c r="H47" s="3">
        <v>14.7</v>
      </c>
    </row>
    <row r="48" spans="1:8" x14ac:dyDescent="0.2">
      <c r="A48" t="s">
        <v>75</v>
      </c>
      <c r="B48" t="s">
        <v>76</v>
      </c>
      <c r="C48" t="s">
        <v>77</v>
      </c>
      <c r="D48">
        <v>1</v>
      </c>
      <c r="E48">
        <v>200120.16</v>
      </c>
      <c r="F48" s="3">
        <v>0</v>
      </c>
      <c r="G48" s="3">
        <v>200120.16</v>
      </c>
      <c r="H48" s="3">
        <v>200120.16</v>
      </c>
    </row>
    <row r="49" spans="1:8" x14ac:dyDescent="0.2">
      <c r="A49" t="s">
        <v>75</v>
      </c>
      <c r="B49" t="s">
        <v>78</v>
      </c>
      <c r="C49" t="s">
        <v>79</v>
      </c>
      <c r="D49">
        <v>1</v>
      </c>
      <c r="E49">
        <v>100019.49</v>
      </c>
      <c r="F49" s="3">
        <v>0</v>
      </c>
      <c r="G49" s="3">
        <v>100019.49</v>
      </c>
      <c r="H49" s="3">
        <v>100019.49</v>
      </c>
    </row>
    <row r="50" spans="1:8" x14ac:dyDescent="0.2">
      <c r="A50" t="s">
        <v>80</v>
      </c>
      <c r="B50" t="s">
        <v>81</v>
      </c>
      <c r="C50" t="s">
        <v>82</v>
      </c>
      <c r="D50">
        <v>1</v>
      </c>
      <c r="E50">
        <v>193000</v>
      </c>
      <c r="F50" s="3">
        <v>0</v>
      </c>
      <c r="G50" s="3">
        <v>193000</v>
      </c>
      <c r="H50" s="3">
        <v>193000</v>
      </c>
    </row>
    <row r="51" spans="1:8" x14ac:dyDescent="0.2">
      <c r="A51" t="s">
        <v>83</v>
      </c>
      <c r="B51" t="s">
        <v>84</v>
      </c>
      <c r="C51" t="s">
        <v>85</v>
      </c>
      <c r="D51">
        <v>1</v>
      </c>
      <c r="E51">
        <v>80000</v>
      </c>
      <c r="F51" s="3">
        <v>0</v>
      </c>
      <c r="G51" s="3">
        <v>80000</v>
      </c>
      <c r="H51" s="3">
        <v>80000</v>
      </c>
    </row>
    <row r="52" spans="1:8" x14ac:dyDescent="0.2">
      <c r="A52" t="s">
        <v>83</v>
      </c>
      <c r="B52" t="s">
        <v>86</v>
      </c>
      <c r="C52" t="s">
        <v>87</v>
      </c>
      <c r="D52">
        <v>1</v>
      </c>
      <c r="E52">
        <v>22000</v>
      </c>
      <c r="F52" s="3">
        <v>2000</v>
      </c>
      <c r="G52" s="3">
        <v>20000</v>
      </c>
      <c r="H52" s="3">
        <v>22000</v>
      </c>
    </row>
    <row r="53" spans="1:8" x14ac:dyDescent="0.2">
      <c r="A53" t="s">
        <v>83</v>
      </c>
      <c r="B53" t="s">
        <v>88</v>
      </c>
      <c r="C53" t="s">
        <v>89</v>
      </c>
      <c r="D53">
        <v>1</v>
      </c>
      <c r="E53">
        <v>15000</v>
      </c>
      <c r="F53" s="3">
        <v>0</v>
      </c>
      <c r="G53" s="3">
        <v>15000</v>
      </c>
      <c r="H53" s="3">
        <v>15000</v>
      </c>
    </row>
    <row r="54" spans="1:8" x14ac:dyDescent="0.2">
      <c r="A54" t="s">
        <v>90</v>
      </c>
      <c r="B54" t="s">
        <v>47</v>
      </c>
      <c r="C54" t="s">
        <v>48</v>
      </c>
      <c r="D54">
        <v>73.92</v>
      </c>
      <c r="E54">
        <v>767.22199999999998</v>
      </c>
      <c r="F54" s="3">
        <v>0</v>
      </c>
      <c r="G54" s="3">
        <v>56711.87</v>
      </c>
      <c r="H54" s="3">
        <v>56711.87</v>
      </c>
    </row>
    <row r="55" spans="1:8" x14ac:dyDescent="0.2">
      <c r="A55" t="s">
        <v>90</v>
      </c>
      <c r="B55" t="s">
        <v>53</v>
      </c>
      <c r="C55" t="s">
        <v>54</v>
      </c>
      <c r="D55">
        <v>76.23</v>
      </c>
      <c r="E55">
        <v>255.62299999999999</v>
      </c>
      <c r="F55" s="3">
        <v>0</v>
      </c>
      <c r="G55" s="3">
        <v>19485.830000000002</v>
      </c>
      <c r="H55" s="3">
        <v>19485.830000000002</v>
      </c>
    </row>
    <row r="56" spans="1:8" x14ac:dyDescent="0.2">
      <c r="A56" t="s">
        <v>90</v>
      </c>
      <c r="B56" t="s">
        <v>91</v>
      </c>
      <c r="C56" t="s">
        <v>92</v>
      </c>
      <c r="D56">
        <v>52.2</v>
      </c>
      <c r="E56">
        <v>190.47200000000001</v>
      </c>
      <c r="F56" s="3">
        <v>0</v>
      </c>
      <c r="G56" s="3">
        <v>9943.36</v>
      </c>
      <c r="H56" s="3">
        <v>9943.36</v>
      </c>
    </row>
    <row r="57" spans="1:8" x14ac:dyDescent="0.2">
      <c r="A57" t="s">
        <v>90</v>
      </c>
      <c r="B57" t="s">
        <v>51</v>
      </c>
      <c r="C57" t="s">
        <v>52</v>
      </c>
      <c r="D57">
        <v>38.770000000000003</v>
      </c>
      <c r="E57">
        <v>207.59399999999999</v>
      </c>
      <c r="F57" s="3">
        <v>0</v>
      </c>
      <c r="G57" s="3">
        <v>8048.2</v>
      </c>
      <c r="H57" s="3">
        <v>8048.2</v>
      </c>
    </row>
    <row r="58" spans="1:8" x14ac:dyDescent="0.2">
      <c r="A58" t="s">
        <v>93</v>
      </c>
      <c r="B58" t="s">
        <v>23</v>
      </c>
      <c r="C58" t="s">
        <v>94</v>
      </c>
      <c r="D58">
        <v>1</v>
      </c>
      <c r="E58">
        <v>70333</v>
      </c>
      <c r="F58" s="3">
        <v>0</v>
      </c>
      <c r="G58" s="3">
        <v>70333</v>
      </c>
      <c r="H58" s="3">
        <v>70333</v>
      </c>
    </row>
    <row r="59" spans="1:8" x14ac:dyDescent="0.2">
      <c r="A59" t="s">
        <v>93</v>
      </c>
      <c r="B59" t="s">
        <v>95</v>
      </c>
      <c r="C59" t="s">
        <v>96</v>
      </c>
      <c r="D59">
        <v>1</v>
      </c>
      <c r="E59">
        <v>16564</v>
      </c>
      <c r="F59" s="3">
        <v>-1436</v>
      </c>
      <c r="G59" s="3">
        <v>18000</v>
      </c>
      <c r="H59" s="3">
        <v>16564</v>
      </c>
    </row>
    <row r="60" spans="1:8" x14ac:dyDescent="0.2">
      <c r="A60" t="s">
        <v>97</v>
      </c>
      <c r="B60" t="s">
        <v>23</v>
      </c>
      <c r="C60" t="s">
        <v>98</v>
      </c>
      <c r="D60">
        <v>1</v>
      </c>
      <c r="E60">
        <v>80891.740000000005</v>
      </c>
      <c r="F60" s="3">
        <v>0</v>
      </c>
      <c r="G60" s="3">
        <v>80891.740000000005</v>
      </c>
      <c r="H60" s="3">
        <v>80891.740000000005</v>
      </c>
    </row>
    <row r="61" spans="1:8" x14ac:dyDescent="0.2">
      <c r="A61" t="s">
        <v>99</v>
      </c>
      <c r="B61" t="s">
        <v>100</v>
      </c>
      <c r="C61" t="s">
        <v>101</v>
      </c>
      <c r="D61">
        <v>1</v>
      </c>
      <c r="E61">
        <v>70343.490000000005</v>
      </c>
      <c r="F61" s="3">
        <v>0</v>
      </c>
      <c r="G61" s="3">
        <v>70343.490000000005</v>
      </c>
      <c r="H61" s="3">
        <v>70343.490000000005</v>
      </c>
    </row>
    <row r="62" spans="1:8" x14ac:dyDescent="0.2">
      <c r="A62" t="s">
        <v>99</v>
      </c>
      <c r="B62" t="s">
        <v>9</v>
      </c>
      <c r="C62" t="s">
        <v>102</v>
      </c>
      <c r="D62">
        <v>657.92</v>
      </c>
      <c r="E62">
        <v>1.145</v>
      </c>
      <c r="F62" s="3">
        <v>0</v>
      </c>
      <c r="G62" s="3">
        <v>753.32</v>
      </c>
      <c r="H62" s="3">
        <v>753.32</v>
      </c>
    </row>
    <row r="63" spans="1:8" x14ac:dyDescent="0.2">
      <c r="A63" t="s">
        <v>99</v>
      </c>
      <c r="B63" t="s">
        <v>103</v>
      </c>
      <c r="C63" t="s">
        <v>104</v>
      </c>
      <c r="D63">
        <v>58.66</v>
      </c>
      <c r="E63">
        <v>0.93400000000000005</v>
      </c>
      <c r="F63" s="3">
        <v>0</v>
      </c>
      <c r="G63" s="3">
        <v>54.79</v>
      </c>
      <c r="H63" s="3">
        <v>54.79</v>
      </c>
    </row>
    <row r="64" spans="1:8" x14ac:dyDescent="0.2">
      <c r="A64" t="s">
        <v>99</v>
      </c>
      <c r="B64" t="s">
        <v>23</v>
      </c>
      <c r="C64" t="s">
        <v>105</v>
      </c>
      <c r="D64">
        <v>1</v>
      </c>
      <c r="E64">
        <v>0.82</v>
      </c>
      <c r="F64" s="3">
        <v>0</v>
      </c>
      <c r="G64" s="3">
        <v>0.82</v>
      </c>
      <c r="H64" s="3">
        <v>0.82</v>
      </c>
    </row>
    <row r="65" spans="1:8" x14ac:dyDescent="0.2">
      <c r="A65" t="s">
        <v>106</v>
      </c>
      <c r="B65" t="s">
        <v>23</v>
      </c>
      <c r="C65" t="s">
        <v>24</v>
      </c>
      <c r="D65">
        <v>1</v>
      </c>
      <c r="E65">
        <v>68549.100000000006</v>
      </c>
      <c r="F65" s="3">
        <v>0</v>
      </c>
      <c r="G65" s="3">
        <v>68549.100000000006</v>
      </c>
      <c r="H65" s="3">
        <v>68549.100000000006</v>
      </c>
    </row>
    <row r="66" spans="1:8" x14ac:dyDescent="0.2">
      <c r="A66" t="s">
        <v>107</v>
      </c>
      <c r="B66" t="s">
        <v>108</v>
      </c>
      <c r="C66" t="s">
        <v>109</v>
      </c>
      <c r="D66">
        <v>81.16</v>
      </c>
      <c r="E66">
        <v>144.11699999999999</v>
      </c>
      <c r="F66" s="3">
        <v>0</v>
      </c>
      <c r="G66" s="3">
        <v>11696.5</v>
      </c>
      <c r="H66" s="3">
        <v>11696.5</v>
      </c>
    </row>
    <row r="67" spans="1:8" x14ac:dyDescent="0.2">
      <c r="A67" t="s">
        <v>107</v>
      </c>
      <c r="B67" t="s">
        <v>110</v>
      </c>
      <c r="C67" t="s">
        <v>111</v>
      </c>
      <c r="D67">
        <v>46.75</v>
      </c>
      <c r="E67">
        <v>232</v>
      </c>
      <c r="F67" s="3">
        <v>0</v>
      </c>
      <c r="G67" s="3">
        <v>10846</v>
      </c>
      <c r="H67" s="3">
        <v>10846</v>
      </c>
    </row>
    <row r="68" spans="1:8" x14ac:dyDescent="0.2">
      <c r="A68" t="s">
        <v>107</v>
      </c>
      <c r="B68" t="s">
        <v>23</v>
      </c>
      <c r="C68" t="s">
        <v>112</v>
      </c>
      <c r="D68">
        <v>1</v>
      </c>
      <c r="E68">
        <v>360.56</v>
      </c>
      <c r="F68" s="3">
        <v>0</v>
      </c>
      <c r="G68" s="3">
        <v>360.56</v>
      </c>
      <c r="H68" s="3">
        <v>360.56</v>
      </c>
    </row>
    <row r="69" spans="1:8" x14ac:dyDescent="0.2">
      <c r="A69" t="s">
        <v>113</v>
      </c>
      <c r="B69" t="s">
        <v>114</v>
      </c>
      <c r="C69" t="s">
        <v>115</v>
      </c>
      <c r="D69">
        <v>474.42</v>
      </c>
      <c r="E69">
        <v>23.138999999999999</v>
      </c>
      <c r="F69" s="3">
        <v>0</v>
      </c>
      <c r="G69" s="3">
        <v>10977.71</v>
      </c>
      <c r="H69" s="3">
        <v>10977.71</v>
      </c>
    </row>
    <row r="70" spans="1:8" x14ac:dyDescent="0.2">
      <c r="A70" t="s">
        <v>113</v>
      </c>
      <c r="B70" t="s">
        <v>59</v>
      </c>
      <c r="C70" t="s">
        <v>116</v>
      </c>
      <c r="D70">
        <v>201.65</v>
      </c>
      <c r="E70">
        <v>10.712999999999999</v>
      </c>
      <c r="F70" s="3">
        <v>0</v>
      </c>
      <c r="G70" s="3">
        <v>2160.25</v>
      </c>
      <c r="H70" s="3">
        <v>2160.25</v>
      </c>
    </row>
    <row r="71" spans="1:8" x14ac:dyDescent="0.2">
      <c r="A71" t="s">
        <v>113</v>
      </c>
      <c r="B71" t="s">
        <v>117</v>
      </c>
      <c r="C71" t="s">
        <v>118</v>
      </c>
      <c r="D71">
        <v>35.6</v>
      </c>
      <c r="E71">
        <v>53.11</v>
      </c>
      <c r="F71" s="3">
        <v>0</v>
      </c>
      <c r="G71" s="3">
        <v>1890.47</v>
      </c>
      <c r="H71" s="3">
        <v>1890.47</v>
      </c>
    </row>
    <row r="72" spans="1:8" x14ac:dyDescent="0.2">
      <c r="A72" t="s">
        <v>113</v>
      </c>
      <c r="B72" t="s">
        <v>23</v>
      </c>
      <c r="C72" t="s">
        <v>119</v>
      </c>
      <c r="D72">
        <v>1</v>
      </c>
      <c r="E72">
        <v>423.89</v>
      </c>
      <c r="F72" s="3">
        <v>0</v>
      </c>
      <c r="G72" s="3">
        <v>423.89</v>
      </c>
      <c r="H72" s="3">
        <v>423.89</v>
      </c>
    </row>
    <row r="73" spans="1:8" x14ac:dyDescent="0.2">
      <c r="A73" t="s">
        <v>113</v>
      </c>
      <c r="B73" t="s">
        <v>120</v>
      </c>
      <c r="C73" t="s">
        <v>121</v>
      </c>
      <c r="D73">
        <v>71.260000000000005</v>
      </c>
      <c r="E73">
        <v>2</v>
      </c>
      <c r="F73" s="3">
        <v>0</v>
      </c>
      <c r="G73" s="3">
        <v>142.52000000000001</v>
      </c>
      <c r="H73" s="3">
        <v>142.52000000000001</v>
      </c>
    </row>
    <row r="74" spans="1:8" x14ac:dyDescent="0.2">
      <c r="A74" t="s">
        <v>113</v>
      </c>
      <c r="B74" t="s">
        <v>122</v>
      </c>
      <c r="C74" t="s">
        <v>123</v>
      </c>
      <c r="D74">
        <v>35.200000000000003</v>
      </c>
      <c r="E74">
        <v>1</v>
      </c>
      <c r="F74" s="3">
        <v>0</v>
      </c>
      <c r="G74" s="3">
        <v>35.200000000000003</v>
      </c>
      <c r="H74" s="3">
        <v>35.200000000000003</v>
      </c>
    </row>
    <row r="75" spans="1:8" x14ac:dyDescent="0.2">
      <c r="A75" t="s">
        <v>113</v>
      </c>
      <c r="B75" t="s">
        <v>124</v>
      </c>
      <c r="C75" t="s">
        <v>125</v>
      </c>
      <c r="D75">
        <v>13.54</v>
      </c>
      <c r="E75">
        <v>1</v>
      </c>
      <c r="F75" s="3">
        <v>0</v>
      </c>
      <c r="G75" s="3">
        <v>13.54</v>
      </c>
      <c r="H75" s="3">
        <v>13.54</v>
      </c>
    </row>
    <row r="76" spans="1:8" x14ac:dyDescent="0.2">
      <c r="A76" t="s">
        <v>126</v>
      </c>
      <c r="B76" t="s">
        <v>127</v>
      </c>
      <c r="C76" t="s">
        <v>128</v>
      </c>
      <c r="D76">
        <v>58.84</v>
      </c>
      <c r="E76">
        <v>185.50399999999999</v>
      </c>
      <c r="F76" s="3">
        <v>5069.84</v>
      </c>
      <c r="G76" s="3">
        <v>5813.68</v>
      </c>
      <c r="H76" s="3">
        <v>10883.52</v>
      </c>
    </row>
    <row r="77" spans="1:8" x14ac:dyDescent="0.2">
      <c r="A77" t="s">
        <v>129</v>
      </c>
      <c r="B77" t="s">
        <v>130</v>
      </c>
      <c r="C77" t="s">
        <v>131</v>
      </c>
      <c r="D77">
        <v>1</v>
      </c>
      <c r="E77">
        <v>4007.12</v>
      </c>
      <c r="F77" s="3">
        <v>0</v>
      </c>
      <c r="G77" s="3">
        <v>4007.12</v>
      </c>
      <c r="H77" s="3">
        <v>4007.12</v>
      </c>
    </row>
    <row r="78" spans="1:8" x14ac:dyDescent="0.2">
      <c r="A78" t="s">
        <v>132</v>
      </c>
      <c r="B78" t="s">
        <v>133</v>
      </c>
      <c r="C78" t="s">
        <v>134</v>
      </c>
      <c r="D78">
        <v>1</v>
      </c>
      <c r="E78">
        <v>1000.09</v>
      </c>
      <c r="F78" s="3">
        <v>0</v>
      </c>
      <c r="G78" s="3">
        <v>1000.09</v>
      </c>
      <c r="H78" s="3">
        <v>1000.09</v>
      </c>
    </row>
    <row r="79" spans="1:8" x14ac:dyDescent="0.2">
      <c r="A79" t="s">
        <v>135</v>
      </c>
      <c r="B79" t="s">
        <v>133</v>
      </c>
      <c r="C79" t="s">
        <v>136</v>
      </c>
      <c r="D79">
        <v>1</v>
      </c>
      <c r="E79">
        <v>1000</v>
      </c>
      <c r="F79" s="3">
        <v>0</v>
      </c>
      <c r="G79" s="3">
        <v>1000</v>
      </c>
      <c r="H79" s="3">
        <v>1000</v>
      </c>
    </row>
    <row r="80" spans="1:8" x14ac:dyDescent="0.2">
      <c r="A80" t="s">
        <v>137</v>
      </c>
      <c r="B80" t="s">
        <v>138</v>
      </c>
      <c r="C80" t="s">
        <v>139</v>
      </c>
      <c r="D80">
        <v>56.82</v>
      </c>
      <c r="E80">
        <v>6.9039999999999999</v>
      </c>
      <c r="F80" s="3">
        <v>0</v>
      </c>
      <c r="G80" s="3">
        <v>392.29</v>
      </c>
      <c r="H80" s="3">
        <v>392.29</v>
      </c>
    </row>
    <row r="81" spans="1:8" x14ac:dyDescent="0.2">
      <c r="A81" t="s">
        <v>137</v>
      </c>
      <c r="B81" t="s">
        <v>140</v>
      </c>
      <c r="C81" t="s">
        <v>141</v>
      </c>
      <c r="D81">
        <v>83.34</v>
      </c>
      <c r="E81">
        <v>4.4459999999999997</v>
      </c>
      <c r="F81" s="3">
        <v>0</v>
      </c>
      <c r="G81" s="3">
        <v>370.54</v>
      </c>
      <c r="H81" s="3">
        <v>370.54</v>
      </c>
    </row>
    <row r="82" spans="1:8" x14ac:dyDescent="0.2">
      <c r="A82" t="s">
        <v>137</v>
      </c>
      <c r="B82" t="s">
        <v>142</v>
      </c>
      <c r="C82" t="s">
        <v>143</v>
      </c>
      <c r="D82">
        <v>18.05</v>
      </c>
      <c r="E82">
        <v>8.718</v>
      </c>
      <c r="F82" s="3">
        <v>0</v>
      </c>
      <c r="G82" s="3">
        <v>157.36000000000001</v>
      </c>
      <c r="H82" s="3">
        <v>157.36000000000001</v>
      </c>
    </row>
    <row r="83" spans="1:8" x14ac:dyDescent="0.2">
      <c r="A83" t="s">
        <v>144</v>
      </c>
      <c r="B83" t="s">
        <v>145</v>
      </c>
      <c r="C83" t="s">
        <v>146</v>
      </c>
      <c r="D83">
        <v>62.64</v>
      </c>
      <c r="E83">
        <v>8</v>
      </c>
      <c r="F83" s="3">
        <v>297.39</v>
      </c>
      <c r="G83" s="3">
        <v>203.73</v>
      </c>
      <c r="H83" s="3">
        <v>501.12</v>
      </c>
    </row>
    <row r="84" spans="1:8" x14ac:dyDescent="0.2">
      <c r="A84" t="s">
        <v>144</v>
      </c>
      <c r="B84" t="s">
        <v>70</v>
      </c>
      <c r="C84" t="s">
        <v>71</v>
      </c>
      <c r="D84">
        <v>1</v>
      </c>
      <c r="E84">
        <v>12.18</v>
      </c>
      <c r="F84" s="3">
        <v>0</v>
      </c>
      <c r="G84" s="3">
        <v>12.18</v>
      </c>
      <c r="H84" s="3">
        <v>12.18</v>
      </c>
    </row>
    <row r="85" spans="1:8" x14ac:dyDescent="0.2">
      <c r="A85" t="s">
        <v>147</v>
      </c>
      <c r="B85" t="s">
        <v>148</v>
      </c>
      <c r="C85" t="s">
        <v>149</v>
      </c>
      <c r="D85">
        <v>2392.5</v>
      </c>
      <c r="E85">
        <v>1.2E-2</v>
      </c>
      <c r="F85" s="3">
        <v>0</v>
      </c>
      <c r="G85" s="3">
        <v>28.71</v>
      </c>
      <c r="H85" s="3">
        <v>28.71</v>
      </c>
    </row>
    <row r="86" spans="1:8" x14ac:dyDescent="0.2">
      <c r="A86" t="s">
        <v>147</v>
      </c>
      <c r="B86" t="s">
        <v>150</v>
      </c>
      <c r="C86" t="s">
        <v>151</v>
      </c>
      <c r="D86">
        <v>1</v>
      </c>
      <c r="E86">
        <v>1</v>
      </c>
      <c r="F86" s="3">
        <v>0</v>
      </c>
      <c r="G86" s="3">
        <v>1</v>
      </c>
      <c r="H86" s="3">
        <v>1</v>
      </c>
    </row>
    <row r="87" spans="1:8" x14ac:dyDescent="0.2">
      <c r="A87" t="s">
        <v>152</v>
      </c>
      <c r="B87" t="s">
        <v>153</v>
      </c>
      <c r="C87" t="s">
        <v>154</v>
      </c>
      <c r="D87">
        <v>1</v>
      </c>
      <c r="E87">
        <v>0.38</v>
      </c>
      <c r="F87" s="3">
        <v>0</v>
      </c>
      <c r="G87" s="3">
        <v>0.38</v>
      </c>
      <c r="H87" s="3">
        <v>0.38</v>
      </c>
    </row>
    <row r="88" spans="1:8" x14ac:dyDescent="0.2">
      <c r="A88" t="s">
        <v>152</v>
      </c>
      <c r="B88" t="s">
        <v>155</v>
      </c>
      <c r="C88" t="s">
        <v>156</v>
      </c>
      <c r="D88">
        <v>1</v>
      </c>
      <c r="E88">
        <v>0.38</v>
      </c>
      <c r="F88" s="3">
        <v>0</v>
      </c>
      <c r="G88" s="3">
        <v>0.38</v>
      </c>
      <c r="H88" s="3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Consodilated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Tanuj Mangalam</cp:lastModifiedBy>
  <dcterms:created xsi:type="dcterms:W3CDTF">2026-05-26T23:04:59Z</dcterms:created>
  <dcterms:modified xsi:type="dcterms:W3CDTF">2026-05-27T19:56:04Z</dcterms:modified>
</cp:coreProperties>
</file>