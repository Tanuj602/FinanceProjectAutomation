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 Summary" sheetId="1" state="visible" r:id="rId1"/>
    <sheet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0.00&quot;%&quot;"/>
    <numFmt numFmtId="166" formatCode="$#,##0.00;[RED]($#,##0.00)"/>
    <numFmt numFmtId="167" formatCode="+0.00&quot;%&quot;;-0.00&quot;%&quot;"/>
    <numFmt numFmtId="168" formatCode="0.0&quot;%&quot;"/>
  </numFmts>
  <fonts count="12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207020"/>
      <sz val="10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  <font>
      <name val="Arial"/>
      <b val="1"/>
      <color rgb="00207020"/>
      <sz val="11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AD1DC"/>
        <bgColor rgb="00EAD1DC"/>
      </patternFill>
    </fill>
    <fill>
      <patternFill patternType="solid">
        <fgColor rgb="00FFF2CC"/>
        <bgColor rgb="00FFF2CC"/>
      </patternFill>
    </fill>
    <fill>
      <patternFill patternType="solid">
        <fgColor rgb="00D9EAD3"/>
        <bgColor rgb="00D9EAD3"/>
      </patternFill>
    </fill>
    <fill>
      <patternFill patternType="solid">
        <fgColor rgb="00F3F3F3"/>
        <bgColor rgb="00F3F3F3"/>
      </patternFill>
    </fill>
    <fill>
      <patternFill patternType="solid">
        <fgColor rgb="00DDEEFF"/>
        <bgColor rgb="00DDEEFF"/>
      </patternFill>
    </fill>
    <fill>
      <patternFill patternType="solid">
        <fgColor rgb="00FCE5CD"/>
        <bgColor rgb="00FCE5CD"/>
      </patternFill>
    </fill>
    <fill>
      <patternFill patternType="solid">
        <fgColor rgb="00D6E4F0"/>
        <bgColor rgb="00D6E4F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 vertical="center"/>
    </xf>
    <xf numFmtId="2" fontId="3" fillId="0" borderId="2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6" fontId="5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164" fontId="10" fillId="7" borderId="2" applyAlignment="1" pivotButton="0" quotePrefix="0" xfId="0">
      <alignment horizontal="center" vertical="center"/>
    </xf>
    <xf numFmtId="168" fontId="10" fillId="7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164" fontId="10" fillId="5" borderId="2" applyAlignment="1" pivotButton="0" quotePrefix="0" xfId="0">
      <alignment horizontal="center" vertical="center"/>
    </xf>
    <xf numFmtId="168" fontId="10" fillId="5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left" vertical="center"/>
    </xf>
    <xf numFmtId="164" fontId="10" fillId="3" borderId="2" applyAlignment="1" pivotButton="0" quotePrefix="0" xfId="0">
      <alignment horizontal="center" vertical="center"/>
    </xf>
    <xf numFmtId="168" fontId="10" fillId="3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164" fontId="10" fillId="6" borderId="2" applyAlignment="1" pivotButton="0" quotePrefix="0" xfId="0">
      <alignment horizontal="center" vertical="center"/>
    </xf>
    <xf numFmtId="168" fontId="10" fillId="6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164" fontId="10" fillId="8" borderId="2" applyAlignment="1" pivotButton="0" quotePrefix="0" xfId="0">
      <alignment horizontal="center" vertical="center"/>
    </xf>
    <xf numFmtId="168" fontId="10" fillId="8" borderId="2" applyAlignment="1" pivotButton="0" quotePrefix="0" xfId="0">
      <alignment horizontal="center" vertical="center"/>
    </xf>
    <xf numFmtId="164" fontId="9" fillId="0" borderId="2" applyAlignment="1" pivotButton="0" quotePrefix="0" xfId="0">
      <alignment horizontal="center" vertical="center"/>
    </xf>
    <xf numFmtId="168" fontId="9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8" customWidth="1" min="3" max="3"/>
    <col width="22" customWidth="1" min="4" max="4"/>
  </cols>
  <sheetData>
    <row r="1" ht="28" customHeight="1">
      <c r="A1" s="14" t="inlineStr">
        <is>
          <t>Portfolio Summary</t>
        </is>
      </c>
    </row>
    <row r="2" ht="18" customHeight="1">
      <c r="A2" s="15" t="inlineStr">
        <is>
          <t>Generated: 2026-06-11 11:43:19</t>
        </is>
      </c>
    </row>
    <row r="4">
      <c r="A4" s="16" t="inlineStr">
        <is>
          <t>Metric</t>
        </is>
      </c>
      <c r="B4" s="16" t="inlineStr">
        <is>
          <t>Value</t>
        </is>
      </c>
      <c r="C4" s="16" t="inlineStr">
        <is>
          <t>Total Cost Basis ($)</t>
        </is>
      </c>
      <c r="D4" s="16" t="inlineStr">
        <is>
          <t>April Snapshot ($)</t>
        </is>
      </c>
    </row>
    <row r="5" ht="20" customHeight="1">
      <c r="A5" s="17" t="inlineStr">
        <is>
          <t>April Snapshot Value</t>
        </is>
      </c>
      <c r="B5" s="18" t="n">
        <v>5712900.84</v>
      </c>
      <c r="C5" s="19" t="n"/>
      <c r="D5" s="18" t="n">
        <v>5712900.84</v>
      </c>
    </row>
    <row r="6" ht="20" customHeight="1">
      <c r="A6" s="17" t="inlineStr">
        <is>
          <t>Current Market Value</t>
        </is>
      </c>
      <c r="B6" s="18" t="n">
        <v>5979586.3030085</v>
      </c>
      <c r="C6" s="18" t="n">
        <v>3949239.310000001</v>
      </c>
      <c r="D6" s="18" t="n">
        <v>5818449.879999999</v>
      </c>
    </row>
    <row r="7" ht="20" customHeight="1">
      <c r="A7" s="17" t="inlineStr">
        <is>
          <t>Total Gain / Loss ($)</t>
        </is>
      </c>
      <c r="B7" s="20" t="n">
        <v>266685.4630085006</v>
      </c>
      <c r="C7" s="19" t="n"/>
      <c r="D7" s="19" t="n"/>
    </row>
    <row r="8" ht="20" customHeight="1">
      <c r="A8" s="17" t="inlineStr">
        <is>
          <t>Total Gain / Loss (%)</t>
        </is>
      </c>
      <c r="B8" s="21" t="n">
        <v>4.668126937216377</v>
      </c>
      <c r="C8" s="19" t="n"/>
      <c r="D8" s="19" t="n"/>
    </row>
    <row r="10">
      <c r="A10" s="16" t="inlineStr">
        <is>
          <t>Ticker Type</t>
        </is>
      </c>
      <c r="B10" s="16" t="inlineStr">
        <is>
          <t>Market Value ($)</t>
        </is>
      </c>
      <c r="C10" s="16" t="inlineStr">
        <is>
          <t>% of Portfolio</t>
        </is>
      </c>
    </row>
    <row r="11" ht="20" customHeight="1">
      <c r="A11" s="22" t="inlineStr">
        <is>
          <t>Stock</t>
        </is>
      </c>
      <c r="B11" s="23" t="n">
        <v>266284.40597</v>
      </c>
      <c r="C11" s="24" t="n">
        <v>4.453224562308344</v>
      </c>
    </row>
    <row r="12" ht="20" customHeight="1">
      <c r="A12" s="25" t="inlineStr">
        <is>
          <t>ETF</t>
        </is>
      </c>
      <c r="B12" s="26" t="n">
        <v>1248510.0912685</v>
      </c>
      <c r="C12" s="27" t="n">
        <v>20.87953962033024</v>
      </c>
    </row>
    <row r="13" ht="20" customHeight="1">
      <c r="A13" s="28" t="inlineStr">
        <is>
          <t>Mutual Fund</t>
        </is>
      </c>
      <c r="B13" s="29" t="n">
        <v>3166486.21577</v>
      </c>
      <c r="C13" s="30" t="n">
        <v>52.95493793904858</v>
      </c>
    </row>
    <row r="14" ht="20" customHeight="1">
      <c r="A14" s="31" t="inlineStr">
        <is>
          <t>Cash</t>
        </is>
      </c>
      <c r="B14" s="32" t="n">
        <v>1281712.88</v>
      </c>
      <c r="C14" s="33" t="n">
        <v>21.43480861468851</v>
      </c>
    </row>
    <row r="15" ht="20" customHeight="1">
      <c r="A15" s="34" t="inlineStr">
        <is>
          <t>Crypto</t>
        </is>
      </c>
      <c r="B15" s="35" t="n">
        <v>16592.71</v>
      </c>
      <c r="C15" s="36" t="n">
        <v>0.2774892636243369</v>
      </c>
    </row>
    <row r="16">
      <c r="A16" s="17" t="inlineStr">
        <is>
          <t>TOTAL</t>
        </is>
      </c>
      <c r="B16" s="37" t="n">
        <v>5979586.3030085</v>
      </c>
      <c r="C16" s="38" t="n">
        <v>100</v>
      </c>
    </row>
  </sheetData>
  <mergeCells count="3">
    <mergeCell ref="A1:C1"/>
    <mergeCell ref="A2:C2"/>
    <mergeCell ref="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>
      <c r="A1" s="1" t="inlineStr">
        <is>
          <t>Account Name</t>
        </is>
      </c>
      <c r="B1" s="1" t="inlineStr">
        <is>
          <t>Symbol</t>
        </is>
      </c>
      <c r="C1" s="1" t="inlineStr">
        <is>
          <t>Asset Name</t>
        </is>
      </c>
      <c r="D1" s="1" t="inlineStr">
        <is>
          <t>Price</t>
        </is>
      </c>
      <c r="E1" s="1" t="inlineStr">
        <is>
          <t>Quantity</t>
        </is>
      </c>
      <c r="F1" s="1" t="inlineStr">
        <is>
          <t>$ Unrealized gain/loss</t>
        </is>
      </c>
      <c r="G1" s="1" t="inlineStr">
        <is>
          <t>Cost Basis</t>
        </is>
      </c>
      <c r="H1" s="1" t="inlineStr">
        <is>
          <t>Current Balance</t>
        </is>
      </c>
      <c r="I1" s="2" t="inlineStr">
        <is>
          <t>Beta</t>
        </is>
      </c>
      <c r="J1" s="2" t="inlineStr">
        <is>
          <t>Live Price ($)</t>
        </is>
      </c>
      <c r="K1" s="2" t="inlineStr">
        <is>
          <t>Dividend Yield (%)</t>
        </is>
      </c>
      <c r="L1" s="2" t="inlineStr">
        <is>
          <t>Data Updated At</t>
        </is>
      </c>
      <c r="M1" s="2" t="inlineStr">
        <is>
          <t>Ticker Type</t>
        </is>
      </c>
      <c r="N1" s="2" t="inlineStr">
        <is>
          <t>Current Mkt Value ($)</t>
        </is>
      </c>
      <c r="O1" s="2" t="inlineStr">
        <is>
          <t>Total Gain / Loss ($)</t>
        </is>
      </c>
    </row>
    <row r="2">
      <c r="A2" t="inlineStr">
        <is>
          <t>Saving Invested Dow</t>
        </is>
      </c>
      <c r="B2" t="inlineStr">
        <is>
          <t>VFIAX</t>
        </is>
      </c>
      <c r="C2" t="inlineStr">
        <is>
          <t>VANGUARD 500 INDEX FUND</t>
        </is>
      </c>
      <c r="D2" t="n">
        <v>657.92</v>
      </c>
      <c r="E2" t="n">
        <v>465.795</v>
      </c>
      <c r="F2" t="n">
        <v>199728.12</v>
      </c>
      <c r="G2" t="n">
        <v>106727.73</v>
      </c>
      <c r="H2" t="n">
        <v>306455.85</v>
      </c>
      <c r="I2" s="3" t="n">
        <v>1</v>
      </c>
      <c r="J2" s="4" t="n">
        <v>672.1</v>
      </c>
      <c r="K2" s="5" t="n">
        <v>0.8</v>
      </c>
      <c r="L2" s="6" t="inlineStr">
        <is>
          <t>2026-06-11 11:43:19</t>
        </is>
      </c>
      <c r="M2" s="7" t="inlineStr">
        <is>
          <t>Mutual Fund</t>
        </is>
      </c>
      <c r="N2" s="4">
        <f>J2*E2</f>
        <v/>
      </c>
      <c r="O2" s="8">
        <f>N2-G2</f>
        <v/>
      </c>
    </row>
    <row r="3">
      <c r="A3" t="inlineStr">
        <is>
          <t>Saving Invested Dow</t>
        </is>
      </c>
      <c r="B3" t="inlineStr">
        <is>
          <t>VTSAX</t>
        </is>
      </c>
      <c r="C3" t="inlineStr">
        <is>
          <t>VANGUARD TOTAL STOCK MARKET</t>
        </is>
      </c>
      <c r="D3" t="n">
        <v>170.66</v>
      </c>
      <c r="E3" t="n">
        <v>1684.637</v>
      </c>
      <c r="F3" t="n">
        <v>176226.71</v>
      </c>
      <c r="G3" t="n">
        <v>111273.44</v>
      </c>
      <c r="H3" t="n">
        <v>287500.15</v>
      </c>
      <c r="I3" s="3" t="n">
        <v>1.03</v>
      </c>
      <c r="J3" s="4" t="n">
        <v>174.25</v>
      </c>
      <c r="K3" s="5" t="n">
        <v>1.58</v>
      </c>
      <c r="L3" s="6" t="inlineStr">
        <is>
          <t>2026-06-11 11:43:19</t>
        </is>
      </c>
      <c r="M3" s="7" t="inlineStr">
        <is>
          <t>Mutual Fund</t>
        </is>
      </c>
      <c r="N3" s="4">
        <f>J3*E3</f>
        <v/>
      </c>
      <c r="O3" s="8">
        <f>N3-G3</f>
        <v/>
      </c>
    </row>
    <row r="4">
      <c r="A4" t="inlineStr">
        <is>
          <t>Saving Invested Dow</t>
        </is>
      </c>
      <c r="B4" t="inlineStr">
        <is>
          <t>VGT</t>
        </is>
      </c>
      <c r="C4" t="inlineStr">
        <is>
          <t>VANGUARD INFORMATION TECH ETF</t>
        </is>
      </c>
      <c r="D4" t="n">
        <v>100.7</v>
      </c>
      <c r="E4" t="n">
        <v>2711.304</v>
      </c>
      <c r="F4" t="n">
        <v>176274.14</v>
      </c>
      <c r="G4" t="n">
        <v>96747.07000000001</v>
      </c>
      <c r="H4" t="n">
        <v>273021.21</v>
      </c>
      <c r="I4" s="3" t="n">
        <v>1.42</v>
      </c>
      <c r="J4" s="4" t="n">
        <v>113.65</v>
      </c>
      <c r="K4" s="9" t="n"/>
      <c r="L4" s="6" t="inlineStr">
        <is>
          <t>2026-06-11 11:43:19</t>
        </is>
      </c>
      <c r="M4" s="10" t="inlineStr">
        <is>
          <t>ETF</t>
        </is>
      </c>
      <c r="N4" s="4">
        <f>J4*E4</f>
        <v/>
      </c>
      <c r="O4" s="8">
        <f>N4-G4</f>
        <v/>
      </c>
    </row>
    <row r="5">
      <c r="A5" t="inlineStr">
        <is>
          <t>Saving Invested Dow</t>
        </is>
      </c>
      <c r="B5" t="inlineStr">
        <is>
          <t>FELIX</t>
        </is>
      </c>
      <c r="C5" t="inlineStr">
        <is>
          <t>FIDELITY ADVISOR SERIES</t>
        </is>
      </c>
      <c r="D5" t="n">
        <v>165.01</v>
      </c>
      <c r="E5" t="n">
        <v>1600.282</v>
      </c>
      <c r="F5" t="n">
        <v>180208.59</v>
      </c>
      <c r="G5" t="n">
        <v>83853.94000000003</v>
      </c>
      <c r="H5" t="n">
        <v>264062.53</v>
      </c>
      <c r="I5" s="3" t="n">
        <v>2.09</v>
      </c>
      <c r="J5" s="4" t="n">
        <v>199.47</v>
      </c>
      <c r="K5" s="5" t="n">
        <v>0</v>
      </c>
      <c r="L5" s="6" t="inlineStr">
        <is>
          <t>2026-06-11 11:43:19</t>
        </is>
      </c>
      <c r="M5" s="7" t="inlineStr">
        <is>
          <t>Mutual Fund</t>
        </is>
      </c>
      <c r="N5" s="4">
        <f>J5*E5</f>
        <v/>
      </c>
      <c r="O5" s="8">
        <f>N5-G5</f>
        <v/>
      </c>
    </row>
    <row r="6">
      <c r="A6" t="inlineStr">
        <is>
          <t>Saving Invested Dow</t>
        </is>
      </c>
      <c r="B6" t="inlineStr">
        <is>
          <t>VIGAX</t>
        </is>
      </c>
      <c r="C6" t="inlineStr">
        <is>
          <t>VANGUARD GROWTH INDEX</t>
        </is>
      </c>
      <c r="D6" t="n">
        <v>254.27</v>
      </c>
      <c r="E6" t="n">
        <v>1008.585</v>
      </c>
      <c r="F6" t="n">
        <v>145309.54</v>
      </c>
      <c r="G6" t="n">
        <v>111143.37</v>
      </c>
      <c r="H6" t="n">
        <v>256452.91</v>
      </c>
      <c r="I6" s="3" t="n">
        <v>1.24</v>
      </c>
      <c r="J6" s="4" t="n">
        <v>258.33</v>
      </c>
      <c r="K6" s="5" t="n">
        <v>0.58</v>
      </c>
      <c r="L6" s="6" t="inlineStr">
        <is>
          <t>2026-06-11 11:43:19</t>
        </is>
      </c>
      <c r="M6" s="7" t="inlineStr">
        <is>
          <t>Mutual Fund</t>
        </is>
      </c>
      <c r="N6" s="4">
        <f>J6*E6</f>
        <v/>
      </c>
      <c r="O6" s="8">
        <f>N6-G6</f>
        <v/>
      </c>
    </row>
    <row r="7">
      <c r="A7" t="inlineStr">
        <is>
          <t>Saving Invested Dow</t>
        </is>
      </c>
      <c r="B7" t="inlineStr">
        <is>
          <t>VIMAX</t>
        </is>
      </c>
      <c r="C7" t="inlineStr">
        <is>
          <t>VANGUARD MID CAP INDEX</t>
        </is>
      </c>
      <c r="D7" t="n">
        <v>380.25</v>
      </c>
      <c r="E7" t="n">
        <v>314.36</v>
      </c>
      <c r="F7" t="n">
        <v>62272.56</v>
      </c>
      <c r="G7" t="n">
        <v>57262.83</v>
      </c>
      <c r="H7" t="n">
        <v>119535.39</v>
      </c>
      <c r="I7" s="3" t="n">
        <v>0.99</v>
      </c>
      <c r="J7" s="4" t="n">
        <v>384.43</v>
      </c>
      <c r="K7" s="5" t="n">
        <v>0.77</v>
      </c>
      <c r="L7" s="6" t="inlineStr">
        <is>
          <t>2026-06-11 11:43:19</t>
        </is>
      </c>
      <c r="M7" s="7" t="inlineStr">
        <is>
          <t>Mutual Fund</t>
        </is>
      </c>
      <c r="N7" s="4">
        <f>J7*E7</f>
        <v/>
      </c>
      <c r="O7" s="8">
        <f>N7-G7</f>
        <v/>
      </c>
    </row>
    <row r="8">
      <c r="A8" t="inlineStr">
        <is>
          <t>Saving Invested Dow</t>
        </is>
      </c>
      <c r="B8" t="inlineStr">
        <is>
          <t>VHT</t>
        </is>
      </c>
      <c r="C8" t="inlineStr">
        <is>
          <t>VANGUARD HEALTH CARE ETF</t>
        </is>
      </c>
      <c r="D8" t="n">
        <v>278.45</v>
      </c>
      <c r="E8" t="n">
        <v>367.98</v>
      </c>
      <c r="F8" t="n">
        <v>50073.57</v>
      </c>
      <c r="G8" t="n">
        <v>52390.49</v>
      </c>
      <c r="H8" t="n">
        <v>102464.06</v>
      </c>
      <c r="I8" s="3" t="n">
        <v>0.62</v>
      </c>
      <c r="J8" s="4" t="n">
        <v>286.55</v>
      </c>
      <c r="K8" s="5" t="n">
        <v>1</v>
      </c>
      <c r="L8" s="6" t="inlineStr">
        <is>
          <t>2026-06-11 11:43:19</t>
        </is>
      </c>
      <c r="M8" s="10" t="inlineStr">
        <is>
          <t>ETF</t>
        </is>
      </c>
      <c r="N8" s="4">
        <f>J8*E8</f>
        <v/>
      </c>
      <c r="O8" s="8">
        <f>N8-G8</f>
        <v/>
      </c>
    </row>
    <row r="9">
      <c r="A9" t="inlineStr">
        <is>
          <t>Saving Invested Dow</t>
        </is>
      </c>
      <c r="B9" t="inlineStr">
        <is>
          <t>CASH</t>
        </is>
      </c>
      <c r="C9" t="inlineStr">
        <is>
          <t>Vanguard Federal Settlement Fund</t>
        </is>
      </c>
      <c r="D9" t="n">
        <v>1</v>
      </c>
      <c r="E9" t="n">
        <v>100000.6</v>
      </c>
      <c r="F9" t="n">
        <v>0</v>
      </c>
      <c r="G9" t="n">
        <v>100000.6</v>
      </c>
      <c r="H9" t="n">
        <v>100000.6</v>
      </c>
      <c r="I9" s="3" t="n">
        <v>0</v>
      </c>
      <c r="J9" s="4" t="n">
        <v>1</v>
      </c>
      <c r="K9" s="5" t="n">
        <v>3.63</v>
      </c>
      <c r="L9" s="6" t="inlineStr">
        <is>
          <t>2026-06-11 11:43:19</t>
        </is>
      </c>
      <c r="M9" s="11" t="inlineStr">
        <is>
          <t>Cash</t>
        </is>
      </c>
      <c r="N9" s="4">
        <f>H9</f>
        <v/>
      </c>
      <c r="O9" s="8">
        <f>N9-G9</f>
        <v/>
      </c>
    </row>
    <row r="10">
      <c r="A10" t="inlineStr">
        <is>
          <t>Saving Invested Dow</t>
        </is>
      </c>
      <c r="B10" t="inlineStr">
        <is>
          <t>MGK</t>
        </is>
      </c>
      <c r="C10" t="inlineStr">
        <is>
          <t>VANGUARD MEGA CAP GROWTH ETF</t>
        </is>
      </c>
      <c r="D10" t="n">
        <v>83.18000000000001</v>
      </c>
      <c r="E10" t="n">
        <v>937.495</v>
      </c>
      <c r="F10" t="n">
        <v>17544.33</v>
      </c>
      <c r="G10" t="n">
        <v>60440.38</v>
      </c>
      <c r="H10" t="n">
        <v>77984.71000000001</v>
      </c>
      <c r="I10" s="3" t="n">
        <v>1.23</v>
      </c>
      <c r="J10" s="4" t="n">
        <v>85.33</v>
      </c>
      <c r="K10" s="5" t="n">
        <v>0</v>
      </c>
      <c r="L10" s="6" t="inlineStr">
        <is>
          <t>2026-06-11 11:43:19</t>
        </is>
      </c>
      <c r="M10" s="10" t="inlineStr">
        <is>
          <t>ETF</t>
        </is>
      </c>
      <c r="N10" s="4">
        <f>J10*E10</f>
        <v/>
      </c>
      <c r="O10" s="8">
        <f>N10-G10</f>
        <v/>
      </c>
    </row>
    <row r="11">
      <c r="A11" t="inlineStr">
        <is>
          <t>Saving Invested Dow</t>
        </is>
      </c>
      <c r="B11" t="inlineStr">
        <is>
          <t>VYM</t>
        </is>
      </c>
      <c r="C11" t="inlineStr">
        <is>
          <t>VANGUARD HIGH DIVIDEND YIELD ETF</t>
        </is>
      </c>
      <c r="D11" t="n">
        <v>155.11</v>
      </c>
      <c r="E11" t="n">
        <v>420.923</v>
      </c>
      <c r="F11" t="n">
        <v>3480.83</v>
      </c>
      <c r="G11" t="n">
        <v>61808.46</v>
      </c>
      <c r="H11" t="n">
        <v>65289.29</v>
      </c>
      <c r="I11" s="3" t="n">
        <v>0.7</v>
      </c>
      <c r="J11" s="4" t="n">
        <v>158.15</v>
      </c>
      <c r="K11" s="5" t="n">
        <v>2.21</v>
      </c>
      <c r="L11" s="6" t="inlineStr">
        <is>
          <t>2026-06-11 11:43:19</t>
        </is>
      </c>
      <c r="M11" s="10" t="inlineStr">
        <is>
          <t>ETF</t>
        </is>
      </c>
      <c r="N11" s="4">
        <f>J11*E11</f>
        <v/>
      </c>
      <c r="O11" s="8">
        <f>N11-G11</f>
        <v/>
      </c>
    </row>
    <row r="12">
      <c r="A12" t="inlineStr">
        <is>
          <t>Saving Invested Dow</t>
        </is>
      </c>
      <c r="B12" t="inlineStr">
        <is>
          <t>SCHD</t>
        </is>
      </c>
      <c r="C12" t="inlineStr">
        <is>
          <t>SCHWAB US DIVIDEND EQUITY ETF</t>
        </is>
      </c>
      <c r="D12" t="n">
        <v>31.05</v>
      </c>
      <c r="E12" t="n">
        <v>1625</v>
      </c>
      <c r="F12" t="n">
        <v>487.65</v>
      </c>
      <c r="G12" t="n">
        <v>49968.6</v>
      </c>
      <c r="H12" t="n">
        <v>50456.25</v>
      </c>
      <c r="I12" s="3" t="n">
        <v>0.59</v>
      </c>
      <c r="J12" s="4" t="n">
        <v>32.495</v>
      </c>
      <c r="K12" s="5" t="n">
        <v>0</v>
      </c>
      <c r="L12" s="6" t="inlineStr">
        <is>
          <t>2026-06-11 11:43:19</t>
        </is>
      </c>
      <c r="M12" s="10" t="inlineStr">
        <is>
          <t>ETF</t>
        </is>
      </c>
      <c r="N12" s="4">
        <f>J12*E12</f>
        <v/>
      </c>
      <c r="O12" s="8">
        <f>N12-G12</f>
        <v/>
      </c>
    </row>
    <row r="13">
      <c r="A13" t="inlineStr">
        <is>
          <t>Saving Invested Dow</t>
        </is>
      </c>
      <c r="B13" t="inlineStr">
        <is>
          <t>TSLA</t>
        </is>
      </c>
      <c r="C13" t="inlineStr">
        <is>
          <t>TESLA INC</t>
        </is>
      </c>
      <c r="D13" t="n">
        <v>400.62</v>
      </c>
      <c r="E13" t="n">
        <v>105</v>
      </c>
      <c r="F13" t="n">
        <v>32013.69</v>
      </c>
      <c r="G13" t="n">
        <v>10051.41</v>
      </c>
      <c r="H13" t="n">
        <v>42065.1</v>
      </c>
      <c r="I13" s="3" t="n">
        <v>1.798</v>
      </c>
      <c r="J13" s="4" t="n">
        <v>386.08</v>
      </c>
      <c r="K13" s="5" t="n">
        <v>0</v>
      </c>
      <c r="L13" s="6" t="inlineStr">
        <is>
          <t>2026-06-11 11:43:19</t>
        </is>
      </c>
      <c r="M13" s="12" t="inlineStr">
        <is>
          <t>Stock</t>
        </is>
      </c>
      <c r="N13" s="4">
        <f>J13*E13</f>
        <v/>
      </c>
      <c r="O13" s="8">
        <f>N13-G13</f>
        <v/>
      </c>
    </row>
    <row r="14">
      <c r="A14" t="inlineStr">
        <is>
          <t>Saving Invested Dow</t>
        </is>
      </c>
      <c r="B14" t="inlineStr">
        <is>
          <t>AAPL</t>
        </is>
      </c>
      <c r="C14" t="inlineStr">
        <is>
          <t>APPLE INC</t>
        </is>
      </c>
      <c r="D14" t="n">
        <v>270.23</v>
      </c>
      <c r="E14" t="n">
        <v>119.492</v>
      </c>
      <c r="F14" t="n">
        <v>23563.46</v>
      </c>
      <c r="G14" t="n">
        <v>8726.860000000001</v>
      </c>
      <c r="H14" t="n">
        <v>32290.32</v>
      </c>
      <c r="I14" s="3" t="n">
        <v>1.086</v>
      </c>
      <c r="J14" s="4" t="n">
        <v>293.045</v>
      </c>
      <c r="K14" s="5" t="n">
        <v>0.36</v>
      </c>
      <c r="L14" s="6" t="inlineStr">
        <is>
          <t>2026-06-11 11:43:19</t>
        </is>
      </c>
      <c r="M14" s="12" t="inlineStr">
        <is>
          <t>Stock</t>
        </is>
      </c>
      <c r="N14" s="4">
        <f>J14*E14</f>
        <v/>
      </c>
      <c r="O14" s="8">
        <f>N14-G14</f>
        <v/>
      </c>
    </row>
    <row r="15">
      <c r="A15" t="inlineStr">
        <is>
          <t>Saving Invested Dow</t>
        </is>
      </c>
      <c r="B15" t="inlineStr">
        <is>
          <t>VCR</t>
        </is>
      </c>
      <c r="C15" t="inlineStr">
        <is>
          <t>VANGUARD CONSUMER DISCRETIONARY ETF</t>
        </is>
      </c>
      <c r="D15" t="n">
        <v>398.59</v>
      </c>
      <c r="E15" t="n">
        <v>68.809</v>
      </c>
      <c r="F15" t="n">
        <v>1131.02</v>
      </c>
      <c r="G15" t="n">
        <v>26295.64</v>
      </c>
      <c r="H15" t="n">
        <v>27426.66</v>
      </c>
      <c r="I15" s="3" t="n">
        <v>1.25</v>
      </c>
      <c r="J15" s="4" t="n">
        <v>383.93</v>
      </c>
      <c r="K15" s="5" t="n">
        <v>0</v>
      </c>
      <c r="L15" s="6" t="inlineStr">
        <is>
          <t>2026-06-11 11:43:19</t>
        </is>
      </c>
      <c r="M15" s="10" t="inlineStr">
        <is>
          <t>ETF</t>
        </is>
      </c>
      <c r="N15" s="4">
        <f>J15*E15</f>
        <v/>
      </c>
      <c r="O15" s="8">
        <f>N15-G15</f>
        <v/>
      </c>
    </row>
    <row r="16">
      <c r="A16" t="inlineStr">
        <is>
          <t>Saving Invested Dow</t>
        </is>
      </c>
      <c r="B16" t="inlineStr">
        <is>
          <t>VOO</t>
        </is>
      </c>
      <c r="C16" t="inlineStr">
        <is>
          <t>VANGUARD S&amp;P 500 ETF</t>
        </is>
      </c>
      <c r="D16" t="n">
        <v>652.78</v>
      </c>
      <c r="E16" t="n">
        <v>20.247</v>
      </c>
      <c r="F16" t="n">
        <v>2686.39</v>
      </c>
      <c r="G16" t="n">
        <v>10530.45</v>
      </c>
      <c r="H16" t="n">
        <v>13216.84</v>
      </c>
      <c r="I16" s="3" t="n">
        <v>1</v>
      </c>
      <c r="J16" s="4" t="n">
        <v>670.1</v>
      </c>
      <c r="K16" s="5" t="n">
        <v>0.82</v>
      </c>
      <c r="L16" s="6" t="inlineStr">
        <is>
          <t>2026-06-11 11:43:19</t>
        </is>
      </c>
      <c r="M16" s="10" t="inlineStr">
        <is>
          <t>ETF</t>
        </is>
      </c>
      <c r="N16" s="4">
        <f>J16*E16</f>
        <v/>
      </c>
      <c r="O16" s="8">
        <f>N16-G16</f>
        <v/>
      </c>
    </row>
    <row r="17">
      <c r="A17" t="inlineStr">
        <is>
          <t>Saving Invested CTVA and Raheja Nest</t>
        </is>
      </c>
      <c r="B17" t="inlineStr">
        <is>
          <t>VFIAX</t>
        </is>
      </c>
      <c r="C17" t="inlineStr">
        <is>
          <t>VANGUARD 500 INDEX FUND</t>
        </is>
      </c>
      <c r="D17" t="n">
        <v>657.92</v>
      </c>
      <c r="E17" t="n">
        <v>458.703</v>
      </c>
      <c r="F17" t="n">
        <v>114272.41</v>
      </c>
      <c r="G17" t="n">
        <v>187517.47</v>
      </c>
      <c r="H17" t="n">
        <v>301789.88</v>
      </c>
      <c r="I17" s="3" t="n">
        <v>1</v>
      </c>
      <c r="J17" s="4" t="n">
        <v>672.1</v>
      </c>
      <c r="K17" s="5" t="n">
        <v>0.8</v>
      </c>
      <c r="L17" s="6" t="inlineStr">
        <is>
          <t>2026-06-11 11:43:19</t>
        </is>
      </c>
      <c r="M17" s="7" t="inlineStr">
        <is>
          <t>Mutual Fund</t>
        </is>
      </c>
      <c r="N17" s="4">
        <f>J17*E17</f>
        <v/>
      </c>
      <c r="O17" s="8">
        <f>N17-G17</f>
        <v/>
      </c>
    </row>
    <row r="18">
      <c r="A18" t="inlineStr">
        <is>
          <t>Saving Invested CTVA and Raheja Nest</t>
        </is>
      </c>
      <c r="B18" t="inlineStr">
        <is>
          <t>VOO</t>
        </is>
      </c>
      <c r="C18" t="inlineStr">
        <is>
          <t>VANGUARD S&amp;P 500 ETF</t>
        </is>
      </c>
      <c r="D18" t="n">
        <v>652.78</v>
      </c>
      <c r="E18" t="n">
        <v>238.026</v>
      </c>
      <c r="F18" t="n">
        <v>6472.2</v>
      </c>
      <c r="G18" t="n">
        <v>148906.54</v>
      </c>
      <c r="H18" t="n">
        <v>155378.74</v>
      </c>
      <c r="I18" s="3" t="n">
        <v>1</v>
      </c>
      <c r="J18" s="4" t="n">
        <v>670.1</v>
      </c>
      <c r="K18" s="5" t="n">
        <v>0.82</v>
      </c>
      <c r="L18" s="6" t="inlineStr">
        <is>
          <t>2026-06-11 11:43:19</t>
        </is>
      </c>
      <c r="M18" s="10" t="inlineStr">
        <is>
          <t>ETF</t>
        </is>
      </c>
      <c r="N18" s="4">
        <f>J18*E18</f>
        <v/>
      </c>
      <c r="O18" s="8">
        <f>N18-G18</f>
        <v/>
      </c>
    </row>
    <row r="19">
      <c r="A19" t="inlineStr">
        <is>
          <t>Saving Invested CTVA and Raheja Nest</t>
        </is>
      </c>
      <c r="B19" t="inlineStr">
        <is>
          <t>VTSAX</t>
        </is>
      </c>
      <c r="C19" t="inlineStr">
        <is>
          <t>VANGUARD TOTAL STOCK MARKET</t>
        </is>
      </c>
      <c r="D19" t="n">
        <v>170.66</v>
      </c>
      <c r="E19" t="n">
        <v>876.823</v>
      </c>
      <c r="F19" t="n">
        <v>52572.67</v>
      </c>
      <c r="G19" t="n">
        <v>97065.93999999999</v>
      </c>
      <c r="H19" t="n">
        <v>149638.61</v>
      </c>
      <c r="I19" s="3" t="n">
        <v>1.03</v>
      </c>
      <c r="J19" s="4" t="n">
        <v>174.25</v>
      </c>
      <c r="K19" s="5" t="n">
        <v>1.58</v>
      </c>
      <c r="L19" s="6" t="inlineStr">
        <is>
          <t>2026-06-11 11:43:19</t>
        </is>
      </c>
      <c r="M19" s="7" t="inlineStr">
        <is>
          <t>Mutual Fund</t>
        </is>
      </c>
      <c r="N19" s="4">
        <f>J19*E19</f>
        <v/>
      </c>
      <c r="O19" s="8">
        <f>N19-G19</f>
        <v/>
      </c>
    </row>
    <row r="20">
      <c r="A20" t="inlineStr">
        <is>
          <t>Saving Invested CTVA and Raheja Nest</t>
        </is>
      </c>
      <c r="B20" t="inlineStr">
        <is>
          <t>VXUS</t>
        </is>
      </c>
      <c r="C20" t="inlineStr">
        <is>
          <t>VANGUARD TOTAL INTERNATIONAL STOCK ETF</t>
        </is>
      </c>
      <c r="D20" t="n">
        <v>83.75</v>
      </c>
      <c r="E20" t="n">
        <v>945.434</v>
      </c>
      <c r="F20" t="n">
        <v>6044.35</v>
      </c>
      <c r="G20" t="n">
        <v>73135.70999999999</v>
      </c>
      <c r="H20" t="n">
        <v>79180.06</v>
      </c>
      <c r="I20" s="3" t="n">
        <v>0.92</v>
      </c>
      <c r="J20" s="4" t="n">
        <v>83.60850000000001</v>
      </c>
      <c r="K20" s="5" t="n">
        <v>2.66</v>
      </c>
      <c r="L20" s="6" t="inlineStr">
        <is>
          <t>2026-06-11 11:43:19</t>
        </is>
      </c>
      <c r="M20" s="10" t="inlineStr">
        <is>
          <t>ETF</t>
        </is>
      </c>
      <c r="N20" s="4">
        <f>J20*E20</f>
        <v/>
      </c>
      <c r="O20" s="8">
        <f>N20-G20</f>
        <v/>
      </c>
    </row>
    <row r="21">
      <c r="A21" t="inlineStr">
        <is>
          <t>Saving Invested CTVA and Raheja Nest</t>
        </is>
      </c>
      <c r="B21" t="inlineStr">
        <is>
          <t>VT</t>
        </is>
      </c>
      <c r="C21" t="inlineStr">
        <is>
          <t>VANGUARD TOTAL WORLD STOCK ETF</t>
        </is>
      </c>
      <c r="D21" t="n">
        <v>150.84</v>
      </c>
      <c r="E21" t="n">
        <v>470.033</v>
      </c>
      <c r="F21" t="n">
        <v>2510.92</v>
      </c>
      <c r="G21" t="n">
        <v>68388.81</v>
      </c>
      <c r="H21" t="n">
        <v>70899.73</v>
      </c>
      <c r="I21" s="3" t="n">
        <v>0.98</v>
      </c>
      <c r="J21" s="4" t="n">
        <v>153.14</v>
      </c>
      <c r="K21" s="5" t="n">
        <v>0</v>
      </c>
      <c r="L21" s="6" t="inlineStr">
        <is>
          <t>2026-06-11 11:43:19</t>
        </is>
      </c>
      <c r="M21" s="10" t="inlineStr">
        <is>
          <t>ETF</t>
        </is>
      </c>
      <c r="N21" s="4">
        <f>J21*E21</f>
        <v/>
      </c>
      <c r="O21" s="8">
        <f>N21-G21</f>
        <v/>
      </c>
    </row>
    <row r="22">
      <c r="A22" t="inlineStr">
        <is>
          <t>Saving Invested CTVA and Raheja Nest</t>
        </is>
      </c>
      <c r="B22" t="inlineStr">
        <is>
          <t>VIGAX</t>
        </is>
      </c>
      <c r="C22" t="inlineStr">
        <is>
          <t>VANGUARD GROWTH INDEX</t>
        </is>
      </c>
      <c r="D22" t="n">
        <v>254.27</v>
      </c>
      <c r="E22" t="n">
        <v>242.59</v>
      </c>
      <c r="F22" t="n">
        <v>24142.12</v>
      </c>
      <c r="G22" t="n">
        <v>37541.24000000001</v>
      </c>
      <c r="H22" t="n">
        <v>61683.36</v>
      </c>
      <c r="I22" s="3" t="n">
        <v>1.24</v>
      </c>
      <c r="J22" s="4" t="n">
        <v>258.33</v>
      </c>
      <c r="K22" s="5" t="n">
        <v>0.58</v>
      </c>
      <c r="L22" s="6" t="inlineStr">
        <is>
          <t>2026-06-11 11:43:19</t>
        </is>
      </c>
      <c r="M22" s="7" t="inlineStr">
        <is>
          <t>Mutual Fund</t>
        </is>
      </c>
      <c r="N22" s="4">
        <f>J22*E22</f>
        <v/>
      </c>
      <c r="O22" s="8">
        <f>N22-G22</f>
        <v/>
      </c>
    </row>
    <row r="23">
      <c r="A23" t="inlineStr">
        <is>
          <t>Saving Invested CTVA and Raheja Nest</t>
        </is>
      </c>
      <c r="B23" t="inlineStr">
        <is>
          <t>CASH</t>
        </is>
      </c>
      <c r="C23" t="inlineStr">
        <is>
          <t>Vanguard Federal Settlement Fund</t>
        </is>
      </c>
      <c r="D23" t="n">
        <v>1</v>
      </c>
      <c r="E23" t="n">
        <v>50054.78</v>
      </c>
      <c r="F23" t="n">
        <v>0</v>
      </c>
      <c r="G23" t="n">
        <v>50054.78</v>
      </c>
      <c r="H23" t="n">
        <v>50054.78</v>
      </c>
      <c r="I23" s="3" t="n">
        <v>0</v>
      </c>
      <c r="J23" s="4" t="n">
        <v>1</v>
      </c>
      <c r="K23" s="5" t="n">
        <v>3.63</v>
      </c>
      <c r="L23" s="6" t="inlineStr">
        <is>
          <t>2026-06-11 11:43:19</t>
        </is>
      </c>
      <c r="M23" s="11" t="inlineStr">
        <is>
          <t>Cash</t>
        </is>
      </c>
      <c r="N23" s="4">
        <f>H23</f>
        <v/>
      </c>
      <c r="O23" s="8">
        <f>N23-G23</f>
        <v/>
      </c>
    </row>
    <row r="24">
      <c r="A24" t="inlineStr">
        <is>
          <t>Saving Invested CTVA and Raheja Nest</t>
        </is>
      </c>
      <c r="B24" t="inlineStr">
        <is>
          <t>VYM</t>
        </is>
      </c>
      <c r="C24" t="inlineStr">
        <is>
          <t>VANGUARD HIGH DIVIDEND YIELD ETF</t>
        </is>
      </c>
      <c r="D24" t="n">
        <v>155.11</v>
      </c>
      <c r="E24" t="n">
        <v>296.174</v>
      </c>
      <c r="F24" t="n">
        <v>939.5599999999999</v>
      </c>
      <c r="G24" t="n">
        <v>44999.99000000001</v>
      </c>
      <c r="H24" t="n">
        <v>45939.55</v>
      </c>
      <c r="I24" s="3" t="n">
        <v>0.7</v>
      </c>
      <c r="J24" s="4" t="n">
        <v>158.15</v>
      </c>
      <c r="K24" s="5" t="n">
        <v>2.21</v>
      </c>
      <c r="L24" s="6" t="inlineStr">
        <is>
          <t>2026-06-11 11:43:19</t>
        </is>
      </c>
      <c r="M24" s="10" t="inlineStr">
        <is>
          <t>ETF</t>
        </is>
      </c>
      <c r="N24" s="4">
        <f>J24*E24</f>
        <v/>
      </c>
      <c r="O24" s="8">
        <f>N24-G24</f>
        <v/>
      </c>
    </row>
    <row r="25">
      <c r="A25" t="inlineStr">
        <is>
          <t>Saving Invested CTVA and Raheja Nest</t>
        </is>
      </c>
      <c r="B25" t="inlineStr">
        <is>
          <t>SCHD</t>
        </is>
      </c>
      <c r="C25" t="inlineStr">
        <is>
          <t>SCHWAB US DIVIDEND EQUITY ETF</t>
        </is>
      </c>
      <c r="D25" t="n">
        <v>31.05</v>
      </c>
      <c r="E25" t="n">
        <v>1477</v>
      </c>
      <c r="F25" t="n">
        <v>588.86</v>
      </c>
      <c r="G25" t="n">
        <v>45271.99</v>
      </c>
      <c r="H25" t="n">
        <v>45860.85</v>
      </c>
      <c r="I25" s="3" t="n">
        <v>0.59</v>
      </c>
      <c r="J25" s="4" t="n">
        <v>32.495</v>
      </c>
      <c r="K25" s="5" t="n">
        <v>0</v>
      </c>
      <c r="L25" s="6" t="inlineStr">
        <is>
          <t>2026-06-11 11:43:19</t>
        </is>
      </c>
      <c r="M25" s="10" t="inlineStr">
        <is>
          <t>ETF</t>
        </is>
      </c>
      <c r="N25" s="4">
        <f>J25*E25</f>
        <v/>
      </c>
      <c r="O25" s="8">
        <f>N25-G25</f>
        <v/>
      </c>
    </row>
    <row r="26">
      <c r="A26" t="inlineStr">
        <is>
          <t>Saving Invested CTVA and Raheja Nest</t>
        </is>
      </c>
      <c r="B26" t="inlineStr">
        <is>
          <t>VDEQX</t>
        </is>
      </c>
      <c r="C26" t="inlineStr">
        <is>
          <t>VANGUARD DIVERSIFIED EQUITY FUND</t>
        </is>
      </c>
      <c r="D26" t="n">
        <v>55.25</v>
      </c>
      <c r="E26" t="n">
        <v>563.299</v>
      </c>
      <c r="F26" t="n">
        <v>6043.14</v>
      </c>
      <c r="G26" t="n">
        <v>25079.13</v>
      </c>
      <c r="H26" t="n">
        <v>31122.27</v>
      </c>
      <c r="I26" s="3" t="n">
        <v>1.05</v>
      </c>
      <c r="J26" s="4" t="n">
        <v>55.51</v>
      </c>
      <c r="K26" s="5" t="n">
        <v>0.6</v>
      </c>
      <c r="L26" s="6" t="inlineStr">
        <is>
          <t>2026-06-11 11:43:19</t>
        </is>
      </c>
      <c r="M26" s="7" t="inlineStr">
        <is>
          <t>Mutual Fund</t>
        </is>
      </c>
      <c r="N26" s="4">
        <f>J26*E26</f>
        <v/>
      </c>
      <c r="O26" s="8">
        <f>N26-G26</f>
        <v/>
      </c>
    </row>
    <row r="27">
      <c r="A27" t="inlineStr">
        <is>
          <t>CTVA 401 K</t>
        </is>
      </c>
      <c r="B27" t="inlineStr">
        <is>
          <t>DDLEI</t>
        </is>
      </c>
      <c r="C27" t="inlineStr">
        <is>
          <t>LARGE CAP STOCK INDEX FUND</t>
        </is>
      </c>
      <c r="D27" t="n">
        <v>73.92</v>
      </c>
      <c r="E27" t="n">
        <v>4736.467</v>
      </c>
      <c r="F27" t="n">
        <v>128429.86</v>
      </c>
      <c r="G27" t="n">
        <v>221682.64</v>
      </c>
      <c r="H27" t="n">
        <v>350112.5</v>
      </c>
      <c r="I27" s="3" t="n">
        <v>0</v>
      </c>
      <c r="J27" s="4" t="n">
        <v>1</v>
      </c>
      <c r="K27" s="5" t="n">
        <v>3.63</v>
      </c>
      <c r="L27" s="6" t="inlineStr">
        <is>
          <t>2026-06-11 11:43:19</t>
        </is>
      </c>
      <c r="M27" s="7" t="inlineStr">
        <is>
          <t>Mutual Fund</t>
        </is>
      </c>
      <c r="N27" s="4">
        <f>H27</f>
        <v/>
      </c>
      <c r="O27" s="8">
        <f>N27-G27</f>
        <v/>
      </c>
    </row>
    <row r="28">
      <c r="A28" t="inlineStr">
        <is>
          <t>CTVA 401 K</t>
        </is>
      </c>
      <c r="B28" t="inlineStr">
        <is>
          <t>21J36109</t>
        </is>
      </c>
      <c r="C28" t="inlineStr">
        <is>
          <t>SELF-DIRECT ACCT 21J36109</t>
        </is>
      </c>
      <c r="D28" t="n">
        <v>1</v>
      </c>
      <c r="E28" t="n">
        <v>213631.55</v>
      </c>
      <c r="F28" t="n">
        <v>0</v>
      </c>
      <c r="G28" t="n">
        <v>213631.55</v>
      </c>
      <c r="H28" t="n">
        <v>213631.55</v>
      </c>
      <c r="I28" s="3" t="n">
        <v>0</v>
      </c>
      <c r="J28" s="4" t="n">
        <v>1</v>
      </c>
      <c r="K28" s="5" t="n">
        <v>3.63</v>
      </c>
      <c r="L28" s="6" t="inlineStr">
        <is>
          <t>2026-06-11 11:43:19</t>
        </is>
      </c>
      <c r="M28" s="11" t="inlineStr">
        <is>
          <t>Cash</t>
        </is>
      </c>
      <c r="N28" s="4">
        <f>H28</f>
        <v/>
      </c>
      <c r="O28" s="8">
        <f>N28-G28</f>
        <v/>
      </c>
    </row>
    <row r="29">
      <c r="A29" t="inlineStr">
        <is>
          <t>CTVA 401 K</t>
        </is>
      </c>
      <c r="B29" t="inlineStr">
        <is>
          <t>TRF30</t>
        </is>
      </c>
      <c r="C29" t="inlineStr">
        <is>
          <t>TARGET RETIREMENT 2030 FUND</t>
        </is>
      </c>
      <c r="D29" t="n">
        <v>38.77</v>
      </c>
      <c r="E29" t="n">
        <v>5307.761</v>
      </c>
      <c r="F29" t="n">
        <v>50081.97</v>
      </c>
      <c r="G29" t="n">
        <v>155694.1</v>
      </c>
      <c r="H29" t="n">
        <v>205776.07</v>
      </c>
      <c r="I29" s="3" t="n">
        <v>0</v>
      </c>
      <c r="J29" s="4" t="n">
        <v>1</v>
      </c>
      <c r="K29" s="5" t="n">
        <v>3.63</v>
      </c>
      <c r="L29" s="6" t="inlineStr">
        <is>
          <t>2026-06-11 11:43:19</t>
        </is>
      </c>
      <c r="M29" s="7" t="inlineStr">
        <is>
          <t>Mutual Fund</t>
        </is>
      </c>
      <c r="N29" s="4">
        <f>H29</f>
        <v/>
      </c>
      <c r="O29" s="8">
        <f>N29-G29</f>
        <v/>
      </c>
    </row>
    <row r="30">
      <c r="A30" t="inlineStr">
        <is>
          <t>CTVA 401 K</t>
        </is>
      </c>
      <c r="B30" t="inlineStr">
        <is>
          <t>DDLAF</t>
        </is>
      </c>
      <c r="C30" t="inlineStr">
        <is>
          <t>LARGE CAP EQUITY FUND</t>
        </is>
      </c>
      <c r="D30" t="n">
        <v>76.23</v>
      </c>
      <c r="E30" t="n">
        <v>19.385</v>
      </c>
      <c r="F30" t="n">
        <v>59.24000000000001</v>
      </c>
      <c r="G30" t="n">
        <v>1418.45</v>
      </c>
      <c r="H30" t="n">
        <v>1477.69</v>
      </c>
      <c r="I30" s="3" t="n">
        <v>0</v>
      </c>
      <c r="J30" s="4" t="n">
        <v>1</v>
      </c>
      <c r="K30" s="5" t="n">
        <v>3.63</v>
      </c>
      <c r="L30" s="6" t="inlineStr">
        <is>
          <t>2026-06-11 11:43:19</t>
        </is>
      </c>
      <c r="M30" s="7" t="inlineStr">
        <is>
          <t>Mutual Fund</t>
        </is>
      </c>
      <c r="N30" s="4">
        <f>H30</f>
        <v/>
      </c>
      <c r="O30" s="8">
        <f>N30-G30</f>
        <v/>
      </c>
    </row>
    <row r="31">
      <c r="A31" t="inlineStr">
        <is>
          <t>Fidelity Investments - Individual - TOD</t>
        </is>
      </c>
      <c r="B31" t="inlineStr">
        <is>
          <t>FXAIX</t>
        </is>
      </c>
      <c r="C31" t="inlineStr">
        <is>
          <t>FIDELITY 500 INDEX</t>
        </is>
      </c>
      <c r="D31" t="n">
        <v>249.33</v>
      </c>
      <c r="E31" t="n">
        <v>526.8099999999999</v>
      </c>
      <c r="F31" t="n">
        <v>46862.54</v>
      </c>
      <c r="G31" t="n">
        <v>84486.99000000001</v>
      </c>
      <c r="H31" t="n">
        <v>131349.53</v>
      </c>
      <c r="I31" s="3" t="n">
        <v>1</v>
      </c>
      <c r="J31" s="4" t="n">
        <v>252.98</v>
      </c>
      <c r="K31" s="5" t="n">
        <v>1.03</v>
      </c>
      <c r="L31" s="6" t="inlineStr">
        <is>
          <t>2026-06-11 11:43:19</t>
        </is>
      </c>
      <c r="M31" s="7" t="inlineStr">
        <is>
          <t>Mutual Fund</t>
        </is>
      </c>
      <c r="N31" s="4">
        <f>J31*E31</f>
        <v/>
      </c>
      <c r="O31" s="8">
        <f>N31-G31</f>
        <v/>
      </c>
    </row>
    <row r="32">
      <c r="A32" t="inlineStr">
        <is>
          <t>Fidelity Investments - Individual - TOD</t>
        </is>
      </c>
      <c r="B32" t="inlineStr">
        <is>
          <t>VXUS</t>
        </is>
      </c>
      <c r="C32" t="inlineStr">
        <is>
          <t>VANGUARD TOTAL INTL</t>
        </is>
      </c>
      <c r="D32" t="n">
        <v>82.34</v>
      </c>
      <c r="E32" t="n">
        <v>937.847</v>
      </c>
      <c r="F32" t="n">
        <v>4975.93</v>
      </c>
      <c r="G32" t="n">
        <v>72246.39</v>
      </c>
      <c r="H32" t="n">
        <v>77222.32000000001</v>
      </c>
      <c r="I32" s="3" t="n">
        <v>0.92</v>
      </c>
      <c r="J32" s="4" t="n">
        <v>83.60850000000001</v>
      </c>
      <c r="K32" s="5" t="n">
        <v>2.66</v>
      </c>
      <c r="L32" s="6" t="inlineStr">
        <is>
          <t>2026-06-11 11:43:19</t>
        </is>
      </c>
      <c r="M32" s="10" t="inlineStr">
        <is>
          <t>ETF</t>
        </is>
      </c>
      <c r="N32" s="4">
        <f>J32*E32</f>
        <v/>
      </c>
      <c r="O32" s="8">
        <f>N32-G32</f>
        <v/>
      </c>
    </row>
    <row r="33">
      <c r="A33" t="inlineStr">
        <is>
          <t>Fidelity Investments - Individual - TOD</t>
        </is>
      </c>
      <c r="B33" t="inlineStr">
        <is>
          <t>TSLA</t>
        </is>
      </c>
      <c r="C33" t="inlineStr">
        <is>
          <t>TESLA INC</t>
        </is>
      </c>
      <c r="D33" t="n">
        <v>378.67</v>
      </c>
      <c r="E33" t="n">
        <v>190</v>
      </c>
      <c r="F33" t="n">
        <v>27963.5</v>
      </c>
      <c r="G33" t="n">
        <v>43983.8</v>
      </c>
      <c r="H33" t="n">
        <v>71947.3</v>
      </c>
      <c r="I33" s="3" t="n">
        <v>1.798</v>
      </c>
      <c r="J33" s="4" t="n">
        <v>386.08</v>
      </c>
      <c r="K33" s="5" t="n">
        <v>0</v>
      </c>
      <c r="L33" s="6" t="inlineStr">
        <is>
          <t>2026-06-11 11:43:19</t>
        </is>
      </c>
      <c r="M33" s="12" t="inlineStr">
        <is>
          <t>Stock</t>
        </is>
      </c>
      <c r="N33" s="4">
        <f>J33*E33</f>
        <v/>
      </c>
      <c r="O33" s="8">
        <f>N33-G33</f>
        <v/>
      </c>
    </row>
    <row r="34">
      <c r="A34" t="inlineStr">
        <is>
          <t>Fidelity Investments - Individual - TOD</t>
        </is>
      </c>
      <c r="B34" t="inlineStr">
        <is>
          <t>NVDA</t>
        </is>
      </c>
      <c r="C34" t="inlineStr">
        <is>
          <t>NVIDIA CORP</t>
        </is>
      </c>
      <c r="D34" t="n">
        <v>216.61</v>
      </c>
      <c r="E34" t="n">
        <v>253.879</v>
      </c>
      <c r="F34" t="n">
        <v>36585.33</v>
      </c>
      <c r="G34" t="n">
        <v>18407.4</v>
      </c>
      <c r="H34" t="n">
        <v>54992.73</v>
      </c>
      <c r="I34" s="3" t="n">
        <v>2.202</v>
      </c>
      <c r="J34" s="4" t="n">
        <v>201.43</v>
      </c>
      <c r="K34" s="5" t="n">
        <v>0.02</v>
      </c>
      <c r="L34" s="6" t="inlineStr">
        <is>
          <t>2026-06-11 11:43:19</t>
        </is>
      </c>
      <c r="M34" s="12" t="inlineStr">
        <is>
          <t>Stock</t>
        </is>
      </c>
      <c r="N34" s="4">
        <f>J34*E34</f>
        <v/>
      </c>
      <c r="O34" s="8">
        <f>N34-G34</f>
        <v/>
      </c>
    </row>
    <row r="35">
      <c r="A35" t="inlineStr">
        <is>
          <t>Fidelity Investments - Individual - TOD</t>
        </is>
      </c>
      <c r="B35" t="inlineStr">
        <is>
          <t>SCHD</t>
        </is>
      </c>
      <c r="C35" t="inlineStr">
        <is>
          <t>SCHWAB US DIVIDEND</t>
        </is>
      </c>
      <c r="D35" t="n">
        <v>31.13</v>
      </c>
      <c r="E35" t="n">
        <v>1681.883</v>
      </c>
      <c r="F35" t="n">
        <v>714.5700000000001</v>
      </c>
      <c r="G35" t="n">
        <v>51642.44</v>
      </c>
      <c r="H35" t="n">
        <v>52357.01</v>
      </c>
      <c r="I35" s="3" t="n">
        <v>0.59</v>
      </c>
      <c r="J35" s="4" t="n">
        <v>32.495</v>
      </c>
      <c r="K35" s="5" t="n">
        <v>0</v>
      </c>
      <c r="L35" s="6" t="inlineStr">
        <is>
          <t>2026-06-11 11:43:19</t>
        </is>
      </c>
      <c r="M35" s="10" t="inlineStr">
        <is>
          <t>ETF</t>
        </is>
      </c>
      <c r="N35" s="4">
        <f>J35*E35</f>
        <v/>
      </c>
      <c r="O35" s="8">
        <f>N35-G35</f>
        <v/>
      </c>
    </row>
    <row r="36">
      <c r="A36" t="inlineStr">
        <is>
          <t>Fidelity Investments - Individual - TOD</t>
        </is>
      </c>
      <c r="B36" t="inlineStr">
        <is>
          <t>FSELX</t>
        </is>
      </c>
      <c r="C36" t="inlineStr">
        <is>
          <t>FIDELITY SELECT SEMI</t>
        </is>
      </c>
      <c r="D36" t="n">
        <v>57.5</v>
      </c>
      <c r="E36" t="n">
        <v>637.218</v>
      </c>
      <c r="F36" t="n">
        <v>16969.75</v>
      </c>
      <c r="G36" t="n">
        <v>19670.28</v>
      </c>
      <c r="H36" t="n">
        <v>36640.03</v>
      </c>
      <c r="I36" s="3" t="n">
        <v>2.12</v>
      </c>
      <c r="J36" s="4" t="n">
        <v>64.86</v>
      </c>
      <c r="K36" s="5" t="n">
        <v>0</v>
      </c>
      <c r="L36" s="6" t="inlineStr">
        <is>
          <t>2026-06-11 11:43:19</t>
        </is>
      </c>
      <c r="M36" s="7" t="inlineStr">
        <is>
          <t>Mutual Fund</t>
        </is>
      </c>
      <c r="N36" s="4">
        <f>J36*E36</f>
        <v/>
      </c>
      <c r="O36" s="8">
        <f>N36-G36</f>
        <v/>
      </c>
    </row>
    <row r="37">
      <c r="A37" t="inlineStr">
        <is>
          <t>Fidelity Investments - Individual - TOD</t>
        </is>
      </c>
      <c r="B37" t="inlineStr">
        <is>
          <t>AAPL</t>
        </is>
      </c>
      <c r="C37" t="inlineStr">
        <is>
          <t>APPLE INC</t>
        </is>
      </c>
      <c r="D37" t="n">
        <v>267.61</v>
      </c>
      <c r="E37" t="n">
        <v>100.926</v>
      </c>
      <c r="F37" t="n">
        <v>10288.71</v>
      </c>
      <c r="G37" t="n">
        <v>16720.09</v>
      </c>
      <c r="H37" t="n">
        <v>27008.8</v>
      </c>
      <c r="I37" s="3" t="n">
        <v>1.086</v>
      </c>
      <c r="J37" s="4" t="n">
        <v>293.045</v>
      </c>
      <c r="K37" s="5" t="n">
        <v>0.36</v>
      </c>
      <c r="L37" s="6" t="inlineStr">
        <is>
          <t>2026-06-11 11:43:19</t>
        </is>
      </c>
      <c r="M37" s="12" t="inlineStr">
        <is>
          <t>Stock</t>
        </is>
      </c>
      <c r="N37" s="4">
        <f>J37*E37</f>
        <v/>
      </c>
      <c r="O37" s="8">
        <f>N37-G37</f>
        <v/>
      </c>
    </row>
    <row r="38">
      <c r="A38" t="inlineStr">
        <is>
          <t>Fidelity Investments - Individual - TOD</t>
        </is>
      </c>
      <c r="B38" t="inlineStr">
        <is>
          <t>SMH</t>
        </is>
      </c>
      <c r="C38" t="inlineStr">
        <is>
          <t>VANECK SEMICONDUCTOR</t>
        </is>
      </c>
      <c r="D38" t="n">
        <v>506.26</v>
      </c>
      <c r="E38" t="n">
        <v>36.467</v>
      </c>
      <c r="F38" t="n">
        <v>8544.110000000001</v>
      </c>
      <c r="G38" t="n">
        <v>9917.67</v>
      </c>
      <c r="H38" t="n">
        <v>18461.78</v>
      </c>
      <c r="I38" s="3" t="n">
        <v>1.97</v>
      </c>
      <c r="J38" s="4" t="n">
        <v>589.5599999999999</v>
      </c>
      <c r="K38" s="5" t="n">
        <v>0</v>
      </c>
      <c r="L38" s="6" t="inlineStr">
        <is>
          <t>2026-06-11 11:43:19</t>
        </is>
      </c>
      <c r="M38" s="10" t="inlineStr">
        <is>
          <t>ETF</t>
        </is>
      </c>
      <c r="N38" s="4">
        <f>J38*E38</f>
        <v/>
      </c>
      <c r="O38" s="8">
        <f>N38-G38</f>
        <v/>
      </c>
    </row>
    <row r="39">
      <c r="A39" t="inlineStr">
        <is>
          <t>Fidelity Investments - Individual - TOD</t>
        </is>
      </c>
      <c r="B39" t="inlineStr">
        <is>
          <t>QTUM</t>
        </is>
      </c>
      <c r="C39" t="inlineStr">
        <is>
          <t>DEFIANCE QUANTUM ETF</t>
        </is>
      </c>
      <c r="D39" t="n">
        <v>131.89</v>
      </c>
      <c r="E39" t="n">
        <v>122.17</v>
      </c>
      <c r="F39" t="n">
        <v>5437.49</v>
      </c>
      <c r="G39" t="n">
        <v>10675.51</v>
      </c>
      <c r="H39" t="n">
        <v>16113</v>
      </c>
      <c r="I39" s="3" t="n">
        <v>1.64</v>
      </c>
      <c r="J39" s="4" t="n">
        <v>154.65</v>
      </c>
      <c r="K39" s="5" t="n">
        <v>0.73</v>
      </c>
      <c r="L39" s="6" t="inlineStr">
        <is>
          <t>2026-06-11 11:43:19</t>
        </is>
      </c>
      <c r="M39" s="10" t="inlineStr">
        <is>
          <t>ETF</t>
        </is>
      </c>
      <c r="N39" s="4">
        <f>J39*E39</f>
        <v/>
      </c>
      <c r="O39" s="8">
        <f>N39-G39</f>
        <v/>
      </c>
    </row>
    <row r="40">
      <c r="A40" t="inlineStr">
        <is>
          <t>Fidelity Investments - Individual - TOD</t>
        </is>
      </c>
      <c r="B40" t="inlineStr">
        <is>
          <t>FTEC</t>
        </is>
      </c>
      <c r="C40" t="inlineStr">
        <is>
          <t>FIDELITY MSCI INFO TECH</t>
        </is>
      </c>
      <c r="D40" t="n">
        <v>248.85</v>
      </c>
      <c r="E40" t="n">
        <v>59.395</v>
      </c>
      <c r="F40" t="n">
        <v>4716.66</v>
      </c>
      <c r="G40" t="n">
        <v>10063.78</v>
      </c>
      <c r="H40" t="n">
        <v>14780.44</v>
      </c>
      <c r="I40" s="3" t="n">
        <v>1.41</v>
      </c>
      <c r="J40" s="4" t="n">
        <v>271.425</v>
      </c>
      <c r="K40" s="5" t="n">
        <v>0</v>
      </c>
      <c r="L40" s="6" t="inlineStr">
        <is>
          <t>2026-06-11 11:43:19</t>
        </is>
      </c>
      <c r="M40" s="10" t="inlineStr">
        <is>
          <t>ETF</t>
        </is>
      </c>
      <c r="N40" s="4">
        <f>J40*E40</f>
        <v/>
      </c>
      <c r="O40" s="8">
        <f>N40-G40</f>
        <v/>
      </c>
    </row>
    <row r="41">
      <c r="A41" t="inlineStr">
        <is>
          <t>Fidelity Investments - Individual - TOD</t>
        </is>
      </c>
      <c r="B41" t="inlineStr">
        <is>
          <t>SPAXX</t>
        </is>
      </c>
      <c r="C41" t="inlineStr">
        <is>
          <t>HELD IN MONEY MARKET</t>
        </is>
      </c>
      <c r="D41" t="n">
        <v>1</v>
      </c>
      <c r="E41" t="n">
        <v>64.33</v>
      </c>
      <c r="F41" t="n">
        <v>0</v>
      </c>
      <c r="G41" t="n">
        <v>64.33</v>
      </c>
      <c r="H41" t="n">
        <v>64.33</v>
      </c>
      <c r="I41" s="3" t="n">
        <v>0</v>
      </c>
      <c r="J41" s="4" t="n">
        <v>1</v>
      </c>
      <c r="K41" s="5" t="n">
        <v>3.63</v>
      </c>
      <c r="L41" s="6" t="inlineStr">
        <is>
          <t>2026-06-11 11:43:19</t>
        </is>
      </c>
      <c r="M41" s="11" t="inlineStr">
        <is>
          <t>Cash</t>
        </is>
      </c>
      <c r="N41" s="4">
        <f>H41</f>
        <v/>
      </c>
      <c r="O41" s="8">
        <f>N41-G41</f>
        <v/>
      </c>
    </row>
    <row r="42">
      <c r="A42" t="inlineStr">
        <is>
          <t>Dow IRA</t>
        </is>
      </c>
      <c r="B42" t="inlineStr">
        <is>
          <t>VFIAX</t>
        </is>
      </c>
      <c r="C42" t="inlineStr">
        <is>
          <t>VANGUARD 500 INDEX FUND</t>
        </is>
      </c>
      <c r="D42" t="n">
        <v>657.92</v>
      </c>
      <c r="E42" t="n">
        <v>203.796</v>
      </c>
      <c r="F42" t="n">
        <v>75756.7</v>
      </c>
      <c r="G42" t="n">
        <v>58324.75999999999</v>
      </c>
      <c r="H42" t="n">
        <v>134081.46</v>
      </c>
      <c r="I42" s="3" t="n">
        <v>1</v>
      </c>
      <c r="J42" s="4" t="n">
        <v>672.1</v>
      </c>
      <c r="K42" s="5" t="n">
        <v>0.8</v>
      </c>
      <c r="L42" s="6" t="inlineStr">
        <is>
          <t>2026-06-11 11:43:19</t>
        </is>
      </c>
      <c r="M42" s="7" t="inlineStr">
        <is>
          <t>Mutual Fund</t>
        </is>
      </c>
      <c r="N42" s="4">
        <f>J42*E42</f>
        <v/>
      </c>
      <c r="O42" s="8">
        <f>N42-G42</f>
        <v/>
      </c>
    </row>
    <row r="43">
      <c r="A43" t="inlineStr">
        <is>
          <t>Dow IRA</t>
        </is>
      </c>
      <c r="B43" t="inlineStr">
        <is>
          <t>VIGAX</t>
        </is>
      </c>
      <c r="C43" t="inlineStr">
        <is>
          <t>VANGUARD GROWTH INDEX</t>
        </is>
      </c>
      <c r="D43" t="n">
        <v>254.27</v>
      </c>
      <c r="E43" t="n">
        <v>473.254</v>
      </c>
      <c r="F43" t="n">
        <v>57320.45</v>
      </c>
      <c r="G43" t="n">
        <v>63013.84</v>
      </c>
      <c r="H43" t="n">
        <v>120334.29</v>
      </c>
      <c r="I43" s="3" t="n">
        <v>1.24</v>
      </c>
      <c r="J43" s="4" t="n">
        <v>258.33</v>
      </c>
      <c r="K43" s="5" t="n">
        <v>0.58</v>
      </c>
      <c r="L43" s="6" t="inlineStr">
        <is>
          <t>2026-06-11 11:43:19</t>
        </is>
      </c>
      <c r="M43" s="7" t="inlineStr">
        <is>
          <t>Mutual Fund</t>
        </is>
      </c>
      <c r="N43" s="4">
        <f>J43*E43</f>
        <v/>
      </c>
      <c r="O43" s="8">
        <f>N43-G43</f>
        <v/>
      </c>
    </row>
    <row r="44">
      <c r="A44" t="inlineStr">
        <is>
          <t>Dow IRA</t>
        </is>
      </c>
      <c r="B44" t="inlineStr">
        <is>
          <t>VTSAX</t>
        </is>
      </c>
      <c r="C44" t="inlineStr">
        <is>
          <t>VANGUARD TOTAL STOCK MARKET</t>
        </is>
      </c>
      <c r="D44" t="n">
        <v>170.66</v>
      </c>
      <c r="E44" t="n">
        <v>687.146</v>
      </c>
      <c r="F44" t="n">
        <v>64886.39</v>
      </c>
      <c r="G44" t="n">
        <v>52381.95</v>
      </c>
      <c r="H44" t="n">
        <v>117268.34</v>
      </c>
      <c r="I44" s="3" t="n">
        <v>1.03</v>
      </c>
      <c r="J44" s="4" t="n">
        <v>174.25</v>
      </c>
      <c r="K44" s="5" t="n">
        <v>1.58</v>
      </c>
      <c r="L44" s="6" t="inlineStr">
        <is>
          <t>2026-06-11 11:43:19</t>
        </is>
      </c>
      <c r="M44" s="7" t="inlineStr">
        <is>
          <t>Mutual Fund</t>
        </is>
      </c>
      <c r="N44" s="4">
        <f>J44*E44</f>
        <v/>
      </c>
      <c r="O44" s="8">
        <f>N44-G44</f>
        <v/>
      </c>
    </row>
    <row r="45">
      <c r="A45" t="inlineStr">
        <is>
          <t>Dow IRA</t>
        </is>
      </c>
      <c r="B45" t="inlineStr">
        <is>
          <t>VIMAX</t>
        </is>
      </c>
      <c r="C45" t="inlineStr">
        <is>
          <t>VANGUARD MID CAP INDEX</t>
        </is>
      </c>
      <c r="D45" t="n">
        <v>380.25</v>
      </c>
      <c r="E45" t="n">
        <v>145.383</v>
      </c>
      <c r="F45" t="n">
        <v>24248.34</v>
      </c>
      <c r="G45" t="n">
        <v>31033.55</v>
      </c>
      <c r="H45" t="n">
        <v>55281.89</v>
      </c>
      <c r="I45" s="3" t="n">
        <v>0.99</v>
      </c>
      <c r="J45" s="4" t="n">
        <v>384.43</v>
      </c>
      <c r="K45" s="5" t="n">
        <v>0.77</v>
      </c>
      <c r="L45" s="6" t="inlineStr">
        <is>
          <t>2026-06-11 11:43:19</t>
        </is>
      </c>
      <c r="M45" s="7" t="inlineStr">
        <is>
          <t>Mutual Fund</t>
        </is>
      </c>
      <c r="N45" s="4">
        <f>J45*E45</f>
        <v/>
      </c>
      <c r="O45" s="8">
        <f>N45-G45</f>
        <v/>
      </c>
    </row>
    <row r="46">
      <c r="A46" t="inlineStr">
        <is>
          <t>Dow IRA</t>
        </is>
      </c>
      <c r="B46" t="inlineStr">
        <is>
          <t>VMGMX</t>
        </is>
      </c>
      <c r="C46" t="inlineStr">
        <is>
          <t>VANGUARD MID CAP GROWTH INDEX</t>
        </is>
      </c>
      <c r="D46" t="n">
        <v>122.12</v>
      </c>
      <c r="E46" t="n">
        <v>336.095</v>
      </c>
      <c r="F46" t="n">
        <v>14850.97</v>
      </c>
      <c r="G46" t="n">
        <v>26192.95</v>
      </c>
      <c r="H46" t="n">
        <v>41043.92</v>
      </c>
      <c r="I46" s="3" t="n">
        <v>1.22</v>
      </c>
      <c r="J46" s="4" t="n">
        <v>123.6</v>
      </c>
      <c r="K46" s="5" t="n">
        <v>0</v>
      </c>
      <c r="L46" s="6" t="inlineStr">
        <is>
          <t>2026-06-11 11:43:19</t>
        </is>
      </c>
      <c r="M46" s="7" t="inlineStr">
        <is>
          <t>Mutual Fund</t>
        </is>
      </c>
      <c r="N46" s="4">
        <f>J46*E46</f>
        <v/>
      </c>
      <c r="O46" s="8">
        <f>N46-G46</f>
        <v/>
      </c>
    </row>
    <row r="47">
      <c r="A47" t="inlineStr">
        <is>
          <t>Dow IRA</t>
        </is>
      </c>
      <c r="B47" t="inlineStr">
        <is>
          <t>CASH</t>
        </is>
      </c>
      <c r="C47" t="inlineStr">
        <is>
          <t>Vanguard Federal Settlement Fund</t>
        </is>
      </c>
      <c r="D47" t="n">
        <v>1</v>
      </c>
      <c r="E47" t="n">
        <v>14.7</v>
      </c>
      <c r="F47" t="n">
        <v>0</v>
      </c>
      <c r="G47" t="n">
        <v>14.7</v>
      </c>
      <c r="H47" t="n">
        <v>14.7</v>
      </c>
      <c r="I47" s="3" t="n">
        <v>0</v>
      </c>
      <c r="J47" s="4" t="n">
        <v>1</v>
      </c>
      <c r="K47" s="5" t="n">
        <v>3.63</v>
      </c>
      <c r="L47" s="6" t="inlineStr">
        <is>
          <t>2026-06-11 11:43:19</t>
        </is>
      </c>
      <c r="M47" s="11" t="inlineStr">
        <is>
          <t>Cash</t>
        </is>
      </c>
      <c r="N47" s="4">
        <f>H47</f>
        <v/>
      </c>
      <c r="O47" s="8">
        <f>N47-G47</f>
        <v/>
      </c>
    </row>
    <row r="48">
      <c r="A48" t="inlineStr">
        <is>
          <t>Raheja Nest 501 Cash in Bond</t>
        </is>
      </c>
      <c r="B48" t="inlineStr">
        <is>
          <t>VMRXX</t>
        </is>
      </c>
      <c r="C48" t="inlineStr">
        <is>
          <t>VANGUARD CASH RESERVES FED MMKT</t>
        </is>
      </c>
      <c r="D48" t="n">
        <v>1</v>
      </c>
      <c r="E48" t="n">
        <v>200120.16</v>
      </c>
      <c r="F48" t="n">
        <v>0</v>
      </c>
      <c r="G48" t="n">
        <v>200120.16</v>
      </c>
      <c r="H48" t="n">
        <v>200120.16</v>
      </c>
      <c r="I48" s="3" t="n">
        <v>0</v>
      </c>
      <c r="J48" s="4" t="n">
        <v>1</v>
      </c>
      <c r="K48" s="5" t="n">
        <v>3.63</v>
      </c>
      <c r="L48" s="6" t="inlineStr">
        <is>
          <t>2026-06-11 11:43:19</t>
        </is>
      </c>
      <c r="M48" s="11" t="inlineStr">
        <is>
          <t>Cash</t>
        </is>
      </c>
      <c r="N48" s="4">
        <f>H48</f>
        <v/>
      </c>
      <c r="O48" s="8">
        <f>N48-G48</f>
        <v/>
      </c>
    </row>
    <row r="49">
      <c r="A49" t="inlineStr">
        <is>
          <t>Raheja Nest 501 Cash in Bond</t>
        </is>
      </c>
      <c r="B49" t="inlineStr">
        <is>
          <t>SWEEP</t>
        </is>
      </c>
      <c r="C49" t="inlineStr">
        <is>
          <t>Vanguard Cash Plus Bank Sweep</t>
        </is>
      </c>
      <c r="D49" t="n">
        <v>1</v>
      </c>
      <c r="E49" t="n">
        <v>100019.49</v>
      </c>
      <c r="F49" t="n">
        <v>0</v>
      </c>
      <c r="G49" t="n">
        <v>100019.49</v>
      </c>
      <c r="H49" t="n">
        <v>100019.49</v>
      </c>
      <c r="I49" s="3" t="n">
        <v>0</v>
      </c>
      <c r="J49" s="4" t="n">
        <v>1</v>
      </c>
      <c r="K49" s="5" t="n">
        <v>3.63</v>
      </c>
      <c r="L49" s="6" t="inlineStr">
        <is>
          <t>2026-06-11 11:43:19</t>
        </is>
      </c>
      <c r="M49" s="11" t="inlineStr">
        <is>
          <t>Cash</t>
        </is>
      </c>
      <c r="N49" s="4">
        <f>H49</f>
        <v/>
      </c>
      <c r="O49" s="8">
        <f>N49-G49</f>
        <v/>
      </c>
    </row>
    <row r="50">
      <c r="A50" t="inlineStr">
        <is>
          <t>LIC Superannuation India</t>
        </is>
      </c>
      <c r="B50" t="inlineStr">
        <is>
          <t>LIC</t>
        </is>
      </c>
      <c r="C50" t="inlineStr">
        <is>
          <t>LIC Superannuation Asset Base India</t>
        </is>
      </c>
      <c r="D50" t="n">
        <v>1</v>
      </c>
      <c r="E50" t="n">
        <v>193000</v>
      </c>
      <c r="F50" t="n">
        <v>0</v>
      </c>
      <c r="G50" t="n">
        <v>193000</v>
      </c>
      <c r="H50" t="n">
        <v>193000</v>
      </c>
      <c r="I50" s="3" t="n">
        <v>0</v>
      </c>
      <c r="J50" s="4" t="n">
        <v>1</v>
      </c>
      <c r="K50" s="5" t="n">
        <v>3.63</v>
      </c>
      <c r="L50" s="6" t="inlineStr">
        <is>
          <t>2026-06-11 11:43:19</t>
        </is>
      </c>
      <c r="M50" s="11" t="inlineStr">
        <is>
          <t>Cash</t>
        </is>
      </c>
      <c r="N50" s="4">
        <f>H50</f>
        <v/>
      </c>
      <c r="O50" s="8">
        <f>N50-G50</f>
        <v/>
      </c>
    </row>
    <row r="51">
      <c r="A51" t="inlineStr">
        <is>
          <t>Treasury Bond Bills</t>
        </is>
      </c>
      <c r="B51" t="inlineStr">
        <is>
          <t>T-BILL</t>
        </is>
      </c>
      <c r="C51" t="inlineStr">
        <is>
          <t>Treasury Bill Short Maturity</t>
        </is>
      </c>
      <c r="D51" t="n">
        <v>1</v>
      </c>
      <c r="E51" t="n">
        <v>80000</v>
      </c>
      <c r="F51" t="n">
        <v>0</v>
      </c>
      <c r="G51" t="n">
        <v>80000</v>
      </c>
      <c r="H51" t="n">
        <v>80000</v>
      </c>
      <c r="I51" s="3" t="n">
        <v>0</v>
      </c>
      <c r="J51" s="4" t="n">
        <v>1</v>
      </c>
      <c r="K51" s="5" t="n">
        <v>3.63</v>
      </c>
      <c r="L51" s="6" t="inlineStr">
        <is>
          <t>2026-06-11 11:43:19</t>
        </is>
      </c>
      <c r="M51" s="11" t="inlineStr">
        <is>
          <t>Cash</t>
        </is>
      </c>
      <c r="N51" s="4">
        <f>H51</f>
        <v/>
      </c>
      <c r="O51" s="8">
        <f>N51-G51</f>
        <v/>
      </c>
    </row>
    <row r="52">
      <c r="A52" t="inlineStr">
        <is>
          <t>Treasury Bond Bills</t>
        </is>
      </c>
      <c r="B52" t="inlineStr">
        <is>
          <t>TIPS</t>
        </is>
      </c>
      <c r="C52" t="inlineStr">
        <is>
          <t>TIPS Treasury Inflation Protection</t>
        </is>
      </c>
      <c r="D52" t="n">
        <v>1</v>
      </c>
      <c r="E52" t="n">
        <v>22000</v>
      </c>
      <c r="F52" t="n">
        <v>2000</v>
      </c>
      <c r="G52" t="n">
        <v>20000</v>
      </c>
      <c r="H52" t="n">
        <v>22000</v>
      </c>
      <c r="I52" s="3" t="n">
        <v>0</v>
      </c>
      <c r="J52" s="4" t="n">
        <v>1</v>
      </c>
      <c r="K52" s="5" t="n">
        <v>3.63</v>
      </c>
      <c r="L52" s="6" t="inlineStr">
        <is>
          <t>2026-06-11 11:43:19</t>
        </is>
      </c>
      <c r="M52" s="11" t="inlineStr">
        <is>
          <t>Cash</t>
        </is>
      </c>
      <c r="N52" s="4">
        <f>H52</f>
        <v/>
      </c>
      <c r="O52" s="8">
        <f>N52-G52</f>
        <v/>
      </c>
    </row>
    <row r="53">
      <c r="A53" t="inlineStr">
        <is>
          <t>Treasury Bond Bills</t>
        </is>
      </c>
      <c r="B53" t="inlineStr">
        <is>
          <t>PNC</t>
        </is>
      </c>
      <c r="C53" t="inlineStr">
        <is>
          <t>PNC Strategic Deposit Placement</t>
        </is>
      </c>
      <c r="D53" t="n">
        <v>1</v>
      </c>
      <c r="E53" t="n">
        <v>15000</v>
      </c>
      <c r="F53" t="n">
        <v>0</v>
      </c>
      <c r="G53" t="n">
        <v>15000</v>
      </c>
      <c r="H53" t="n">
        <v>15000</v>
      </c>
      <c r="I53" s="3" t="n">
        <v>0</v>
      </c>
      <c r="J53" s="4" t="n">
        <v>1</v>
      </c>
      <c r="K53" s="5" t="n">
        <v>3.63</v>
      </c>
      <c r="L53" s="6" t="inlineStr">
        <is>
          <t>2026-06-11 11:43:19</t>
        </is>
      </c>
      <c r="M53" s="11" t="inlineStr">
        <is>
          <t>Cash</t>
        </is>
      </c>
      <c r="N53" s="4">
        <f>H53</f>
        <v/>
      </c>
      <c r="O53" s="8">
        <f>N53-G53</f>
        <v/>
      </c>
    </row>
    <row r="54">
      <c r="A54" t="inlineStr">
        <is>
          <t>CTVA RSRP</t>
        </is>
      </c>
      <c r="B54" t="inlineStr">
        <is>
          <t>DDLEI</t>
        </is>
      </c>
      <c r="C54" t="inlineStr">
        <is>
          <t>LARGE CAP STOCK INDEX FUND</t>
        </is>
      </c>
      <c r="D54" t="n">
        <v>73.92</v>
      </c>
      <c r="E54" t="n">
        <v>767.222</v>
      </c>
      <c r="F54" t="n">
        <v>0</v>
      </c>
      <c r="G54" t="n">
        <v>56711.87</v>
      </c>
      <c r="H54" t="n">
        <v>56711.87</v>
      </c>
      <c r="I54" s="3" t="n">
        <v>0</v>
      </c>
      <c r="J54" s="4" t="n">
        <v>1</v>
      </c>
      <c r="K54" s="5" t="n">
        <v>3.63</v>
      </c>
      <c r="L54" s="6" t="inlineStr">
        <is>
          <t>2026-06-11 11:43:19</t>
        </is>
      </c>
      <c r="M54" s="7" t="inlineStr">
        <is>
          <t>Mutual Fund</t>
        </is>
      </c>
      <c r="N54" s="4">
        <f>H54</f>
        <v/>
      </c>
      <c r="O54" s="8">
        <f>N54-G54</f>
        <v/>
      </c>
    </row>
    <row r="55">
      <c r="A55" t="inlineStr">
        <is>
          <t>CTVA RSRP</t>
        </is>
      </c>
      <c r="B55" t="inlineStr">
        <is>
          <t>DDLAF</t>
        </is>
      </c>
      <c r="C55" t="inlineStr">
        <is>
          <t>LARGE CAP EQUITY FUND</t>
        </is>
      </c>
      <c r="D55" t="n">
        <v>76.23</v>
      </c>
      <c r="E55" t="n">
        <v>255.623</v>
      </c>
      <c r="F55" t="n">
        <v>0</v>
      </c>
      <c r="G55" t="n">
        <v>19485.83</v>
      </c>
      <c r="H55" t="n">
        <v>19485.83</v>
      </c>
      <c r="I55" s="3" t="n">
        <v>0</v>
      </c>
      <c r="J55" s="4" t="n">
        <v>1</v>
      </c>
      <c r="K55" s="5" t="n">
        <v>3.63</v>
      </c>
      <c r="L55" s="6" t="inlineStr">
        <is>
          <t>2026-06-11 11:43:19</t>
        </is>
      </c>
      <c r="M55" s="7" t="inlineStr">
        <is>
          <t>Mutual Fund</t>
        </is>
      </c>
      <c r="N55" s="4">
        <f>H55</f>
        <v/>
      </c>
      <c r="O55" s="8">
        <f>N55-G55</f>
        <v/>
      </c>
    </row>
    <row r="56">
      <c r="A56" t="inlineStr">
        <is>
          <t>CTVA RSRP</t>
        </is>
      </c>
      <c r="B56" t="inlineStr">
        <is>
          <t>CSMIF</t>
        </is>
      </c>
      <c r="C56" t="inlineStr">
        <is>
          <t>SMALL-MID CAP STOCK INDEX</t>
        </is>
      </c>
      <c r="D56" t="n">
        <v>52.2</v>
      </c>
      <c r="E56" t="n">
        <v>190.472</v>
      </c>
      <c r="F56" t="n">
        <v>0</v>
      </c>
      <c r="G56" t="n">
        <v>9943.360000000001</v>
      </c>
      <c r="H56" t="n">
        <v>9943.360000000001</v>
      </c>
      <c r="I56" s="3" t="n">
        <v>0</v>
      </c>
      <c r="J56" s="4" t="n">
        <v>1</v>
      </c>
      <c r="K56" s="5" t="n">
        <v>3.63</v>
      </c>
      <c r="L56" s="6" t="inlineStr">
        <is>
          <t>2026-06-11 11:43:19</t>
        </is>
      </c>
      <c r="M56" s="7" t="inlineStr">
        <is>
          <t>Mutual Fund</t>
        </is>
      </c>
      <c r="N56" s="4">
        <f>H56</f>
        <v/>
      </c>
      <c r="O56" s="8">
        <f>N56-G56</f>
        <v/>
      </c>
    </row>
    <row r="57">
      <c r="A57" t="inlineStr">
        <is>
          <t>CTVA RSRP</t>
        </is>
      </c>
      <c r="B57" t="inlineStr">
        <is>
          <t>TRF30</t>
        </is>
      </c>
      <c r="C57" t="inlineStr">
        <is>
          <t>TARGET RETIREMENT 2030 FUND</t>
        </is>
      </c>
      <c r="D57" t="n">
        <v>38.77</v>
      </c>
      <c r="E57" t="n">
        <v>207.594</v>
      </c>
      <c r="F57" t="n">
        <v>0</v>
      </c>
      <c r="G57" t="n">
        <v>8048.2</v>
      </c>
      <c r="H57" t="n">
        <v>8048.2</v>
      </c>
      <c r="I57" s="3" t="n">
        <v>0</v>
      </c>
      <c r="J57" s="4" t="n">
        <v>1</v>
      </c>
      <c r="K57" s="5" t="n">
        <v>3.63</v>
      </c>
      <c r="L57" s="6" t="inlineStr">
        <is>
          <t>2026-06-11 11:43:19</t>
        </is>
      </c>
      <c r="M57" s="7" t="inlineStr">
        <is>
          <t>Mutual Fund</t>
        </is>
      </c>
      <c r="N57" s="4">
        <f>H57</f>
        <v/>
      </c>
      <c r="O57" s="8">
        <f>N57-G57</f>
        <v/>
      </c>
    </row>
    <row r="58">
      <c r="A58" t="inlineStr">
        <is>
          <t>SBI PBB FD</t>
        </is>
      </c>
      <c r="B58" t="inlineStr">
        <is>
          <t>CASH</t>
        </is>
      </c>
      <c r="C58" t="inlineStr">
        <is>
          <t>SBI Liquid Primary Cash Deposit</t>
        </is>
      </c>
      <c r="D58" t="n">
        <v>1</v>
      </c>
      <c r="E58" t="n">
        <v>70333</v>
      </c>
      <c r="F58" t="n">
        <v>0</v>
      </c>
      <c r="G58" t="n">
        <v>70333</v>
      </c>
      <c r="H58" t="n">
        <v>70333</v>
      </c>
      <c r="I58" s="3" t="n">
        <v>0</v>
      </c>
      <c r="J58" s="4" t="n">
        <v>1</v>
      </c>
      <c r="K58" s="5" t="n">
        <v>3.63</v>
      </c>
      <c r="L58" s="6" t="inlineStr">
        <is>
          <t>2026-06-11 11:43:19</t>
        </is>
      </c>
      <c r="M58" s="11" t="inlineStr">
        <is>
          <t>Cash</t>
        </is>
      </c>
      <c r="N58" s="4">
        <f>H58</f>
        <v/>
      </c>
      <c r="O58" s="8">
        <f>N58-G58</f>
        <v/>
      </c>
    </row>
    <row r="59">
      <c r="A59" t="inlineStr">
        <is>
          <t>SBI PBB FD</t>
        </is>
      </c>
      <c r="B59" t="inlineStr">
        <is>
          <t>CRYPTO</t>
        </is>
      </c>
      <c r="C59" t="inlineStr">
        <is>
          <t>SBI Core Crypto Allocation Reserve</t>
        </is>
      </c>
      <c r="D59" t="n">
        <v>1</v>
      </c>
      <c r="E59" t="n">
        <v>16564</v>
      </c>
      <c r="F59" t="n">
        <v>-1436</v>
      </c>
      <c r="G59" t="n">
        <v>18000</v>
      </c>
      <c r="H59" t="n">
        <v>16564</v>
      </c>
      <c r="I59" s="3" t="n">
        <v>0</v>
      </c>
      <c r="J59" s="4" t="n">
        <v>1</v>
      </c>
      <c r="K59" s="5" t="n">
        <v>3.63</v>
      </c>
      <c r="L59" s="6" t="inlineStr">
        <is>
          <t>2026-06-11 11:43:19</t>
        </is>
      </c>
      <c r="M59" s="13" t="inlineStr">
        <is>
          <t>Crypto</t>
        </is>
      </c>
      <c r="N59" s="4">
        <f>H59</f>
        <v/>
      </c>
      <c r="O59" s="8">
        <f>N59-G59</f>
        <v/>
      </c>
    </row>
    <row r="60">
      <c r="A60" t="inlineStr">
        <is>
          <t>CTVA HSA</t>
        </is>
      </c>
      <c r="B60" t="inlineStr">
        <is>
          <t>CASH</t>
        </is>
      </c>
      <c r="C60" t="inlineStr">
        <is>
          <t>CTVA HSA Liquidity Account</t>
        </is>
      </c>
      <c r="D60" t="n">
        <v>1</v>
      </c>
      <c r="E60" t="n">
        <v>80891.74000000001</v>
      </c>
      <c r="F60" t="n">
        <v>0</v>
      </c>
      <c r="G60" t="n">
        <v>80891.74000000001</v>
      </c>
      <c r="H60" t="n">
        <v>80891.74000000001</v>
      </c>
      <c r="I60" s="3" t="n">
        <v>0</v>
      </c>
      <c r="J60" s="4" t="n">
        <v>1</v>
      </c>
      <c r="K60" s="5" t="n">
        <v>3.63</v>
      </c>
      <c r="L60" s="6" t="inlineStr">
        <is>
          <t>2026-06-11 11:43:19</t>
        </is>
      </c>
      <c r="M60" s="11" t="inlineStr">
        <is>
          <t>Cash</t>
        </is>
      </c>
      <c r="N60" s="4">
        <f>H60</f>
        <v/>
      </c>
      <c r="O60" s="8">
        <f>N60-G60</f>
        <v/>
      </c>
    </row>
    <row r="61">
      <c r="A61" t="inlineStr">
        <is>
          <t>Chase Investment - Self-Directed</t>
        </is>
      </c>
      <c r="B61" t="inlineStr">
        <is>
          <t>VUSXX</t>
        </is>
      </c>
      <c r="C61" t="inlineStr">
        <is>
          <t>VANGUARD TREASURY MONEY MARKET FUND</t>
        </is>
      </c>
      <c r="D61" t="n">
        <v>1</v>
      </c>
      <c r="E61" t="n">
        <v>70343.49000000001</v>
      </c>
      <c r="F61" t="n">
        <v>0</v>
      </c>
      <c r="G61" t="n">
        <v>70343.49000000001</v>
      </c>
      <c r="H61" t="n">
        <v>70343.49000000001</v>
      </c>
      <c r="I61" s="3" t="n">
        <v>0</v>
      </c>
      <c r="J61" s="4" t="n">
        <v>1</v>
      </c>
      <c r="K61" s="5" t="n">
        <v>3.63</v>
      </c>
      <c r="L61" s="6" t="inlineStr">
        <is>
          <t>2026-06-11 11:43:19</t>
        </is>
      </c>
      <c r="M61" s="11" t="inlineStr">
        <is>
          <t>Cash</t>
        </is>
      </c>
      <c r="N61" s="4">
        <f>H61</f>
        <v/>
      </c>
      <c r="O61" s="8">
        <f>N61-G61</f>
        <v/>
      </c>
    </row>
    <row r="62">
      <c r="A62" t="inlineStr">
        <is>
          <t>Chase Investment - Self-Directed</t>
        </is>
      </c>
      <c r="B62" t="inlineStr">
        <is>
          <t>VFIAX</t>
        </is>
      </c>
      <c r="C62" t="inlineStr">
        <is>
          <t>VANGUARD 500 INDEX TR INDEX</t>
        </is>
      </c>
      <c r="D62" t="n">
        <v>657.92</v>
      </c>
      <c r="E62" t="n">
        <v>1.145</v>
      </c>
      <c r="F62" t="n">
        <v>0</v>
      </c>
      <c r="G62" t="n">
        <v>753.3200000000001</v>
      </c>
      <c r="H62" t="n">
        <v>753.3200000000001</v>
      </c>
      <c r="I62" s="3" t="n">
        <v>1</v>
      </c>
      <c r="J62" s="4" t="n">
        <v>672.1</v>
      </c>
      <c r="K62" s="5" t="n">
        <v>0.8</v>
      </c>
      <c r="L62" s="6" t="inlineStr">
        <is>
          <t>2026-06-11 11:43:19</t>
        </is>
      </c>
      <c r="M62" s="7" t="inlineStr">
        <is>
          <t>Mutual Fund</t>
        </is>
      </c>
      <c r="N62" s="4">
        <f>J62*E62</f>
        <v/>
      </c>
      <c r="O62" s="8">
        <f>N62-G62</f>
        <v/>
      </c>
    </row>
    <row r="63">
      <c r="A63" t="inlineStr">
        <is>
          <t>Chase Investment - Self-Directed</t>
        </is>
      </c>
      <c r="B63" t="inlineStr">
        <is>
          <t>JEPQ</t>
        </is>
      </c>
      <c r="C63" t="inlineStr">
        <is>
          <t>JPM NASDAQ EQUITY PREMIUM INCOME ETF</t>
        </is>
      </c>
      <c r="D63" t="n">
        <v>58.66</v>
      </c>
      <c r="E63" t="n">
        <v>0.9340000000000001</v>
      </c>
      <c r="F63" t="n">
        <v>0</v>
      </c>
      <c r="G63" t="n">
        <v>54.79</v>
      </c>
      <c r="H63" t="n">
        <v>54.79</v>
      </c>
      <c r="I63" s="3" t="n">
        <v>0.77</v>
      </c>
      <c r="J63" s="4" t="n">
        <v>58.515</v>
      </c>
      <c r="K63" s="5" t="n">
        <v>0</v>
      </c>
      <c r="L63" s="6" t="inlineStr">
        <is>
          <t>2026-06-11 11:43:19</t>
        </is>
      </c>
      <c r="M63" s="10" t="inlineStr">
        <is>
          <t>ETF</t>
        </is>
      </c>
      <c r="N63" s="4">
        <f>J63*E63</f>
        <v/>
      </c>
      <c r="O63" s="8">
        <f>N63-G63</f>
        <v/>
      </c>
    </row>
    <row r="64">
      <c r="A64" t="inlineStr">
        <is>
          <t>Chase Investment - Self-Directed</t>
        </is>
      </c>
      <c r="B64" t="inlineStr">
        <is>
          <t>CASH</t>
        </is>
      </c>
      <c r="C64" t="inlineStr">
        <is>
          <t>Chase Bank Swept Cash Portfolio</t>
        </is>
      </c>
      <c r="D64" t="n">
        <v>1</v>
      </c>
      <c r="E64" t="n">
        <v>0.82</v>
      </c>
      <c r="F64" t="n">
        <v>0</v>
      </c>
      <c r="G64" t="n">
        <v>0.82</v>
      </c>
      <c r="H64" t="n">
        <v>0.82</v>
      </c>
      <c r="I64" s="3" t="n">
        <v>0</v>
      </c>
      <c r="J64" s="4" t="n">
        <v>1</v>
      </c>
      <c r="K64" s="5" t="n">
        <v>3.63</v>
      </c>
      <c r="L64" s="6" t="inlineStr">
        <is>
          <t>2026-06-11 11:43:19</t>
        </is>
      </c>
      <c r="M64" s="11" t="inlineStr">
        <is>
          <t>Cash</t>
        </is>
      </c>
      <c r="N64" s="4">
        <f>H64</f>
        <v/>
      </c>
      <c r="O64" s="8">
        <f>N64-G64</f>
        <v/>
      </c>
    </row>
    <row r="65">
      <c r="A65" t="inlineStr">
        <is>
          <t>Dow Roth</t>
        </is>
      </c>
      <c r="B65" t="inlineStr">
        <is>
          <t>CASH</t>
        </is>
      </c>
      <c r="C65" t="inlineStr">
        <is>
          <t>Vanguard Federal Settlement Fund</t>
        </is>
      </c>
      <c r="D65" t="n">
        <v>1</v>
      </c>
      <c r="E65" t="n">
        <v>68549.10000000001</v>
      </c>
      <c r="F65" t="n">
        <v>0</v>
      </c>
      <c r="G65" t="n">
        <v>68549.10000000001</v>
      </c>
      <c r="H65" t="n">
        <v>68549.10000000001</v>
      </c>
      <c r="I65" s="3" t="n">
        <v>0</v>
      </c>
      <c r="J65" s="4" t="n">
        <v>1</v>
      </c>
      <c r="K65" s="5" t="n">
        <v>3.63</v>
      </c>
      <c r="L65" s="6" t="inlineStr">
        <is>
          <t>2026-06-11 11:43:19</t>
        </is>
      </c>
      <c r="M65" s="11" t="inlineStr">
        <is>
          <t>Cash</t>
        </is>
      </c>
      <c r="N65" s="4">
        <f>H65</f>
        <v/>
      </c>
      <c r="O65" s="8">
        <f>N65-G65</f>
        <v/>
      </c>
    </row>
    <row r="66">
      <c r="A66" t="inlineStr">
        <is>
          <t>CTVA Restricted Stock Released</t>
        </is>
      </c>
      <c r="B66" t="inlineStr">
        <is>
          <t>CTVA</t>
        </is>
      </c>
      <c r="C66" t="inlineStr">
        <is>
          <t>CORTEVA INC REG SHS</t>
        </is>
      </c>
      <c r="D66" t="n">
        <v>81.16</v>
      </c>
      <c r="E66" t="n">
        <v>144.117</v>
      </c>
      <c r="F66" t="n">
        <v>0</v>
      </c>
      <c r="G66" t="n">
        <v>11696.5</v>
      </c>
      <c r="H66" t="n">
        <v>11696.5</v>
      </c>
      <c r="I66" s="3" t="n">
        <v>0.572</v>
      </c>
      <c r="J66" s="4" t="n">
        <v>74.79000000000001</v>
      </c>
      <c r="K66" s="5" t="n">
        <v>0.97</v>
      </c>
      <c r="L66" s="6" t="inlineStr">
        <is>
          <t>2026-06-11 11:43:19</t>
        </is>
      </c>
      <c r="M66" s="12" t="inlineStr">
        <is>
          <t>Stock</t>
        </is>
      </c>
      <c r="N66" s="4">
        <f>J66*E66</f>
        <v/>
      </c>
      <c r="O66" s="8">
        <f>N66-G66</f>
        <v/>
      </c>
    </row>
    <row r="67">
      <c r="A67" t="inlineStr">
        <is>
          <t>CTVA Restricted Stock Released</t>
        </is>
      </c>
      <c r="B67" t="inlineStr">
        <is>
          <t>DD</t>
        </is>
      </c>
      <c r="C67" t="inlineStr">
        <is>
          <t>DUPONT DE NEMOURS INC</t>
        </is>
      </c>
      <c r="D67" t="n">
        <v>46.75</v>
      </c>
      <c r="E67" t="n">
        <v>232</v>
      </c>
      <c r="F67" t="n">
        <v>0</v>
      </c>
      <c r="G67" t="n">
        <v>10846</v>
      </c>
      <c r="H67" t="n">
        <v>10846</v>
      </c>
      <c r="I67" s="3" t="n">
        <v>1.076</v>
      </c>
      <c r="J67" s="4" t="n">
        <v>45.475</v>
      </c>
      <c r="K67" s="5" t="n">
        <v>2.71</v>
      </c>
      <c r="L67" s="6" t="inlineStr">
        <is>
          <t>2026-06-11 11:43:19</t>
        </is>
      </c>
      <c r="M67" s="12" t="inlineStr">
        <is>
          <t>Stock</t>
        </is>
      </c>
      <c r="N67" s="4">
        <f>J67*E67</f>
        <v/>
      </c>
      <c r="O67" s="8">
        <f>N67-G67</f>
        <v/>
      </c>
    </row>
    <row r="68">
      <c r="A68" t="inlineStr">
        <is>
          <t>CTVA Restricted Stock Released</t>
        </is>
      </c>
      <c r="B68" t="inlineStr">
        <is>
          <t>CASH</t>
        </is>
      </c>
      <c r="C68" t="inlineStr">
        <is>
          <t>Unallocated Released Residual Cash</t>
        </is>
      </c>
      <c r="D68" t="n">
        <v>1</v>
      </c>
      <c r="E68" t="n">
        <v>360.56</v>
      </c>
      <c r="F68" t="n">
        <v>0</v>
      </c>
      <c r="G68" t="n">
        <v>360.56</v>
      </c>
      <c r="H68" t="n">
        <v>360.56</v>
      </c>
      <c r="I68" s="3" t="n">
        <v>0</v>
      </c>
      <c r="J68" s="4" t="n">
        <v>1</v>
      </c>
      <c r="K68" s="5" t="n">
        <v>3.63</v>
      </c>
      <c r="L68" s="6" t="inlineStr">
        <is>
          <t>2026-06-11 11:43:19</t>
        </is>
      </c>
      <c r="M68" s="11" t="inlineStr">
        <is>
          <t>Cash</t>
        </is>
      </c>
      <c r="N68" s="4">
        <f>H68</f>
        <v/>
      </c>
      <c r="O68" s="8">
        <f>N68-G68</f>
        <v/>
      </c>
    </row>
    <row r="69">
      <c r="A69" t="inlineStr">
        <is>
          <t>Robinhood - Robinhood individual</t>
        </is>
      </c>
      <c r="B69" t="inlineStr">
        <is>
          <t>BRK.B</t>
        </is>
      </c>
      <c r="C69" t="inlineStr">
        <is>
          <t>BERKSHIRE HATHAWAY Class B</t>
        </is>
      </c>
      <c r="D69" t="n">
        <v>474.42</v>
      </c>
      <c r="E69" t="n">
        <v>23.139</v>
      </c>
      <c r="F69" t="n">
        <v>0</v>
      </c>
      <c r="G69" t="n">
        <v>10977.71</v>
      </c>
      <c r="H69" t="n">
        <v>10977.71</v>
      </c>
      <c r="I69" s="3" t="n">
        <v>0.617</v>
      </c>
      <c r="J69" s="4" t="n">
        <v>482.43</v>
      </c>
      <c r="K69" s="5" t="n">
        <v>0</v>
      </c>
      <c r="L69" s="6" t="inlineStr">
        <is>
          <t>2026-06-11 11:43:19</t>
        </is>
      </c>
      <c r="M69" s="12" t="inlineStr">
        <is>
          <t>Stock</t>
        </is>
      </c>
      <c r="N69" s="4">
        <f>J69*E69</f>
        <v/>
      </c>
      <c r="O69" s="8">
        <f>N69-G69</f>
        <v/>
      </c>
    </row>
    <row r="70">
      <c r="A70" t="inlineStr">
        <is>
          <t>Robinhood - Robinhood individual</t>
        </is>
      </c>
      <c r="B70" t="inlineStr">
        <is>
          <t>NVDA</t>
        </is>
      </c>
      <c r="C70" t="inlineStr">
        <is>
          <t>NVIDIA Corporation Common Stock</t>
        </is>
      </c>
      <c r="D70" t="n">
        <v>201.65</v>
      </c>
      <c r="E70" t="n">
        <v>10.713</v>
      </c>
      <c r="F70" t="n">
        <v>0</v>
      </c>
      <c r="G70" t="n">
        <v>2160.25</v>
      </c>
      <c r="H70" t="n">
        <v>2160.25</v>
      </c>
      <c r="I70" s="3" t="n">
        <v>2.202</v>
      </c>
      <c r="J70" s="4" t="n">
        <v>201.43</v>
      </c>
      <c r="K70" s="5" t="n">
        <v>0.02</v>
      </c>
      <c r="L70" s="6" t="inlineStr">
        <is>
          <t>2026-06-11 11:43:19</t>
        </is>
      </c>
      <c r="M70" s="12" t="inlineStr">
        <is>
          <t>Stock</t>
        </is>
      </c>
      <c r="N70" s="4">
        <f>J70*E70</f>
        <v/>
      </c>
      <c r="O70" s="8">
        <f>N70-G70</f>
        <v/>
      </c>
    </row>
    <row r="71">
      <c r="A71" t="inlineStr">
        <is>
          <t>Robinhood - Robinhood individual</t>
        </is>
      </c>
      <c r="B71" t="inlineStr">
        <is>
          <t>DOW</t>
        </is>
      </c>
      <c r="C71" t="inlineStr">
        <is>
          <t>Dow Inc.</t>
        </is>
      </c>
      <c r="D71" t="n">
        <v>35.6</v>
      </c>
      <c r="E71" t="n">
        <v>53.11</v>
      </c>
      <c r="F71" t="n">
        <v>0</v>
      </c>
      <c r="G71" t="n">
        <v>1890.47</v>
      </c>
      <c r="H71" t="n">
        <v>1890.47</v>
      </c>
      <c r="I71" s="3" t="n">
        <v>0.405</v>
      </c>
      <c r="J71" s="4" t="n">
        <v>34.8</v>
      </c>
      <c r="K71" s="5" t="n">
        <v>5.11</v>
      </c>
      <c r="L71" s="6" t="inlineStr">
        <is>
          <t>2026-06-11 11:43:19</t>
        </is>
      </c>
      <c r="M71" s="12" t="inlineStr">
        <is>
          <t>Stock</t>
        </is>
      </c>
      <c r="N71" s="4">
        <f>J71*E71</f>
        <v/>
      </c>
      <c r="O71" s="8">
        <f>N71-G71</f>
        <v/>
      </c>
    </row>
    <row r="72">
      <c r="A72" t="inlineStr">
        <is>
          <t>Robinhood - Robinhood individual</t>
        </is>
      </c>
      <c r="B72" t="inlineStr">
        <is>
          <t>CASH</t>
        </is>
      </c>
      <c r="C72" t="inlineStr">
        <is>
          <t>Robinhood Settled Cash Balance</t>
        </is>
      </c>
      <c r="D72" t="n">
        <v>1</v>
      </c>
      <c r="E72" t="n">
        <v>423.89</v>
      </c>
      <c r="F72" t="n">
        <v>0</v>
      </c>
      <c r="G72" t="n">
        <v>423.89</v>
      </c>
      <c r="H72" t="n">
        <v>423.89</v>
      </c>
      <c r="I72" s="3" t="n">
        <v>0</v>
      </c>
      <c r="J72" s="4" t="n">
        <v>1</v>
      </c>
      <c r="K72" s="5" t="n">
        <v>3.63</v>
      </c>
      <c r="L72" s="6" t="inlineStr">
        <is>
          <t>2026-06-11 11:43:19</t>
        </is>
      </c>
      <c r="M72" s="11" t="inlineStr">
        <is>
          <t>Cash</t>
        </is>
      </c>
      <c r="N72" s="4">
        <f>H72</f>
        <v/>
      </c>
      <c r="O72" s="8">
        <f>N72-G72</f>
        <v/>
      </c>
    </row>
    <row r="73">
      <c r="A73" t="inlineStr">
        <is>
          <t>Robinhood - Robinhood individual</t>
        </is>
      </c>
      <c r="B73" t="inlineStr">
        <is>
          <t>XYZ</t>
        </is>
      </c>
      <c r="C73" t="inlineStr">
        <is>
          <t>Block, Inc.</t>
        </is>
      </c>
      <c r="D73" t="n">
        <v>71.26000000000001</v>
      </c>
      <c r="E73" t="n">
        <v>2</v>
      </c>
      <c r="F73" t="n">
        <v>0</v>
      </c>
      <c r="G73" t="n">
        <v>142.52</v>
      </c>
      <c r="H73" t="n">
        <v>142.52</v>
      </c>
      <c r="I73" s="3" t="n">
        <v>2.552</v>
      </c>
      <c r="J73" s="4" t="n">
        <v>67.11020000000001</v>
      </c>
      <c r="K73" s="5" t="n">
        <v>0</v>
      </c>
      <c r="L73" s="6" t="inlineStr">
        <is>
          <t>2026-06-11 11:43:19</t>
        </is>
      </c>
      <c r="M73" s="12" t="inlineStr">
        <is>
          <t>Stock</t>
        </is>
      </c>
      <c r="N73" s="4">
        <f>J73*E73</f>
        <v/>
      </c>
      <c r="O73" s="8">
        <f>N73-G73</f>
        <v/>
      </c>
    </row>
    <row r="74">
      <c r="A74" t="inlineStr">
        <is>
          <t>Robinhood - Robinhood individual</t>
        </is>
      </c>
      <c r="B74" t="inlineStr">
        <is>
          <t>VKTX</t>
        </is>
      </c>
      <c r="C74" t="inlineStr">
        <is>
          <t>Viking Therapeutics, Inc. Common</t>
        </is>
      </c>
      <c r="D74" t="n">
        <v>35.2</v>
      </c>
      <c r="E74" t="n">
        <v>1</v>
      </c>
      <c r="F74" t="n">
        <v>0</v>
      </c>
      <c r="G74" t="n">
        <v>35.2</v>
      </c>
      <c r="H74" t="n">
        <v>35.2</v>
      </c>
      <c r="I74" s="3" t="n">
        <v>0.678</v>
      </c>
      <c r="J74" s="4" t="n">
        <v>27.54</v>
      </c>
      <c r="K74" s="5" t="n">
        <v>0</v>
      </c>
      <c r="L74" s="6" t="inlineStr">
        <is>
          <t>2026-06-11 11:43:19</t>
        </is>
      </c>
      <c r="M74" s="12" t="inlineStr">
        <is>
          <t>Stock</t>
        </is>
      </c>
      <c r="N74" s="4">
        <f>J74*E74</f>
        <v/>
      </c>
      <c r="O74" s="8">
        <f>N74-G74</f>
        <v/>
      </c>
    </row>
    <row r="75">
      <c r="A75" t="inlineStr">
        <is>
          <t>Robinhood - Robinhood individual</t>
        </is>
      </c>
      <c r="B75" t="inlineStr">
        <is>
          <t>PGRP</t>
        </is>
      </c>
      <c r="C75" t="inlineStr">
        <is>
          <t>Pattern Group Inc. Series A Common</t>
        </is>
      </c>
      <c r="D75" t="n">
        <v>13.54</v>
      </c>
      <c r="E75" t="n">
        <v>1</v>
      </c>
      <c r="F75" t="n">
        <v>0</v>
      </c>
      <c r="G75" t="n">
        <v>13.54</v>
      </c>
      <c r="H75" t="n">
        <v>13.54</v>
      </c>
      <c r="I75" s="3" t="n">
        <v>0</v>
      </c>
      <c r="J75" s="4" t="n">
        <v>1</v>
      </c>
      <c r="K75" s="5" t="n">
        <v>3.63</v>
      </c>
      <c r="L75" s="6" t="inlineStr">
        <is>
          <t>2026-06-11 11:43:19</t>
        </is>
      </c>
      <c r="M75" s="7" t="inlineStr">
        <is>
          <t>Mutual Fund</t>
        </is>
      </c>
      <c r="N75" s="4">
        <f>H75</f>
        <v/>
      </c>
      <c r="O75" s="8">
        <f>N75-G75</f>
        <v/>
      </c>
    </row>
    <row r="76">
      <c r="A76" t="inlineStr">
        <is>
          <t>Dow Deferred</t>
        </is>
      </c>
      <c r="B76" t="inlineStr">
        <is>
          <t>FCON_POOL</t>
        </is>
      </c>
      <c r="C76" t="inlineStr">
        <is>
          <t>FID CONTRA POOL</t>
        </is>
      </c>
      <c r="D76" t="n">
        <v>58.84</v>
      </c>
      <c r="E76" t="n">
        <v>185.504</v>
      </c>
      <c r="F76" t="n">
        <v>5069.84</v>
      </c>
      <c r="G76" t="n">
        <v>5813.68</v>
      </c>
      <c r="H76" t="n">
        <v>10883.52</v>
      </c>
      <c r="I76" s="3" t="n">
        <v>0</v>
      </c>
      <c r="J76" s="4" t="n">
        <v>1</v>
      </c>
      <c r="K76" s="5" t="n">
        <v>3.63</v>
      </c>
      <c r="L76" s="6" t="inlineStr">
        <is>
          <t>2026-06-11 11:43:19</t>
        </is>
      </c>
      <c r="M76" s="11" t="inlineStr">
        <is>
          <t>Cash</t>
        </is>
      </c>
      <c r="N76" s="4">
        <f>H76</f>
        <v/>
      </c>
      <c r="O76" s="8">
        <f>N76-G76</f>
        <v/>
      </c>
    </row>
    <row r="77">
      <c r="A77" t="inlineStr">
        <is>
          <t>Chase Bank - PREMIER PLUS CKG</t>
        </is>
      </c>
      <c r="B77" t="inlineStr">
        <is>
          <t>CKG</t>
        </is>
      </c>
      <c r="C77" t="inlineStr">
        <is>
          <t>Chase Premier Plus Checking Balance</t>
        </is>
      </c>
      <c r="D77" t="n">
        <v>1</v>
      </c>
      <c r="E77" t="n">
        <v>4007.12</v>
      </c>
      <c r="F77" t="n">
        <v>0</v>
      </c>
      <c r="G77" t="n">
        <v>4007.12</v>
      </c>
      <c r="H77" t="n">
        <v>4007.12</v>
      </c>
      <c r="I77" s="3" t="n">
        <v>0</v>
      </c>
      <c r="J77" s="4" t="n">
        <v>1</v>
      </c>
      <c r="K77" s="5" t="n">
        <v>3.63</v>
      </c>
      <c r="L77" s="6" t="inlineStr">
        <is>
          <t>2026-06-11 11:43:19</t>
        </is>
      </c>
      <c r="M77" s="11" t="inlineStr">
        <is>
          <t>Cash</t>
        </is>
      </c>
      <c r="N77" s="4">
        <f>H77</f>
        <v/>
      </c>
      <c r="O77" s="8">
        <f>N77-G77</f>
        <v/>
      </c>
    </row>
    <row r="78">
      <c r="A78" t="inlineStr">
        <is>
          <t>Merrill Lynch HSA Cash Account 509</t>
        </is>
      </c>
      <c r="B78" t="inlineStr">
        <is>
          <t>HSA_CASH</t>
        </is>
      </c>
      <c r="C78" t="inlineStr">
        <is>
          <t>HSA Cash Custody Balance</t>
        </is>
      </c>
      <c r="D78" t="n">
        <v>1</v>
      </c>
      <c r="E78" t="n">
        <v>1000.09</v>
      </c>
      <c r="F78" t="n">
        <v>0</v>
      </c>
      <c r="G78" t="n">
        <v>1000.09</v>
      </c>
      <c r="H78" t="n">
        <v>1000.09</v>
      </c>
      <c r="I78" s="3" t="n">
        <v>0</v>
      </c>
      <c r="J78" s="4" t="n">
        <v>1</v>
      </c>
      <c r="K78" s="5" t="n">
        <v>3.63</v>
      </c>
      <c r="L78" s="6" t="inlineStr">
        <is>
          <t>2026-06-11 11:43:19</t>
        </is>
      </c>
      <c r="M78" s="11" t="inlineStr">
        <is>
          <t>Cash</t>
        </is>
      </c>
      <c r="N78" s="4">
        <f>H78</f>
        <v/>
      </c>
      <c r="O78" s="8">
        <f>N78-G78</f>
        <v/>
      </c>
    </row>
    <row r="79">
      <c r="A79" t="inlineStr">
        <is>
          <t>Merrill Lynch HSA Cash Account 732</t>
        </is>
      </c>
      <c r="B79" t="inlineStr">
        <is>
          <t>HSA_CASH</t>
        </is>
      </c>
      <c r="C79" t="inlineStr">
        <is>
          <t>HSA Secondary Liquid Account</t>
        </is>
      </c>
      <c r="D79" t="n">
        <v>1</v>
      </c>
      <c r="E79" t="n">
        <v>1000</v>
      </c>
      <c r="F79" t="n">
        <v>0</v>
      </c>
      <c r="G79" t="n">
        <v>1000</v>
      </c>
      <c r="H79" t="n">
        <v>1000</v>
      </c>
      <c r="I79" s="3" t="n">
        <v>0</v>
      </c>
      <c r="J79" s="4" t="n">
        <v>1</v>
      </c>
      <c r="K79" s="5" t="n">
        <v>3.63</v>
      </c>
      <c r="L79" s="6" t="inlineStr">
        <is>
          <t>2026-06-11 11:43:19</t>
        </is>
      </c>
      <c r="M79" s="11" t="inlineStr">
        <is>
          <t>Cash</t>
        </is>
      </c>
      <c r="N79" s="4">
        <f>H79</f>
        <v/>
      </c>
      <c r="O79" s="8">
        <f>N79-G79</f>
        <v/>
      </c>
    </row>
    <row r="80">
      <c r="A80" t="inlineStr">
        <is>
          <t>CollegeChoice Advisor 529 Savings Plan</t>
        </is>
      </c>
      <c r="B80" t="inlineStr">
        <is>
          <t>LC_IDX</t>
        </is>
      </c>
      <c r="C80" t="inlineStr">
        <is>
          <t>Large Cap Index Portfolio Class C</t>
        </is>
      </c>
      <c r="D80" t="n">
        <v>56.82</v>
      </c>
      <c r="E80" t="n">
        <v>6.904</v>
      </c>
      <c r="F80" t="n">
        <v>0</v>
      </c>
      <c r="G80" t="n">
        <v>392.29</v>
      </c>
      <c r="H80" t="n">
        <v>392.29</v>
      </c>
      <c r="I80" s="3" t="n">
        <v>0</v>
      </c>
      <c r="J80" s="4" t="n">
        <v>1</v>
      </c>
      <c r="K80" s="5" t="n">
        <v>3.63</v>
      </c>
      <c r="L80" s="6" t="inlineStr">
        <is>
          <t>2026-06-11 11:43:19</t>
        </is>
      </c>
      <c r="M80" s="7" t="inlineStr">
        <is>
          <t>Mutual Fund</t>
        </is>
      </c>
      <c r="N80" s="4">
        <f>H80</f>
        <v/>
      </c>
      <c r="O80" s="8">
        <f>N80-G80</f>
        <v/>
      </c>
    </row>
    <row r="81">
      <c r="A81" t="inlineStr">
        <is>
          <t>CollegeChoice Advisor 529 Savings Plan</t>
        </is>
      </c>
      <c r="B81" t="inlineStr">
        <is>
          <t>TRP_LCG</t>
        </is>
      </c>
      <c r="C81" t="inlineStr">
        <is>
          <t>T Rowe Price Large Cap Growth C</t>
        </is>
      </c>
      <c r="D81" t="n">
        <v>83.34</v>
      </c>
      <c r="E81" t="n">
        <v>4.446</v>
      </c>
      <c r="F81" t="n">
        <v>0</v>
      </c>
      <c r="G81" t="n">
        <v>370.54</v>
      </c>
      <c r="H81" t="n">
        <v>370.54</v>
      </c>
      <c r="I81" s="3" t="n">
        <v>0</v>
      </c>
      <c r="J81" s="4" t="n">
        <v>1</v>
      </c>
      <c r="K81" s="5" t="n">
        <v>3.63</v>
      </c>
      <c r="L81" s="6" t="inlineStr">
        <is>
          <t>2026-06-11 11:43:19</t>
        </is>
      </c>
      <c r="M81" s="7" t="inlineStr">
        <is>
          <t>Mutual Fund</t>
        </is>
      </c>
      <c r="N81" s="4">
        <f>H81</f>
        <v/>
      </c>
      <c r="O81" s="8">
        <f>N81-G81</f>
        <v/>
      </c>
    </row>
    <row r="82">
      <c r="A82" t="inlineStr">
        <is>
          <t>CollegeChoice Advisor 529 Savings Plan</t>
        </is>
      </c>
      <c r="B82" t="inlineStr">
        <is>
          <t>DMND_HILL</t>
        </is>
      </c>
      <c r="C82" t="inlineStr">
        <is>
          <t>Diamond Hill Small-Mid Cap Portfolio C</t>
        </is>
      </c>
      <c r="D82" t="n">
        <v>18.05</v>
      </c>
      <c r="E82" t="n">
        <v>8.718</v>
      </c>
      <c r="F82" t="n">
        <v>0</v>
      </c>
      <c r="G82" t="n">
        <v>157.36</v>
      </c>
      <c r="H82" t="n">
        <v>157.36</v>
      </c>
      <c r="I82" s="3" t="n">
        <v>0</v>
      </c>
      <c r="J82" s="4" t="n">
        <v>1</v>
      </c>
      <c r="K82" s="5" t="n">
        <v>3.63</v>
      </c>
      <c r="L82" s="6" t="inlineStr">
        <is>
          <t>2026-06-11 11:43:19</t>
        </is>
      </c>
      <c r="M82" s="7" t="inlineStr">
        <is>
          <t>Mutual Fund</t>
        </is>
      </c>
      <c r="N82" s="4">
        <f>H82</f>
        <v/>
      </c>
      <c r="O82" s="8">
        <f>N82-G82</f>
        <v/>
      </c>
    </row>
    <row r="83">
      <c r="A83" t="inlineStr">
        <is>
          <t>Fidelity Investments - JOINT(Option Trading)</t>
        </is>
      </c>
      <c r="B83" t="inlineStr">
        <is>
          <t>TQQQ</t>
        </is>
      </c>
      <c r="C83" t="inlineStr">
        <is>
          <t>PROSHARES ULTRA QQQ 3X</t>
        </is>
      </c>
      <c r="D83" t="n">
        <v>62.64</v>
      </c>
      <c r="E83" t="n">
        <v>8</v>
      </c>
      <c r="F83" t="n">
        <v>297.39</v>
      </c>
      <c r="G83" t="n">
        <v>203.73</v>
      </c>
      <c r="H83" t="n">
        <v>501.12</v>
      </c>
      <c r="I83" s="3" t="n">
        <v>3.91</v>
      </c>
      <c r="J83" s="4" t="n">
        <v>71.67</v>
      </c>
      <c r="K83" s="9" t="n"/>
      <c r="L83" s="6" t="inlineStr">
        <is>
          <t>2026-06-11 11:43:19</t>
        </is>
      </c>
      <c r="M83" s="10" t="inlineStr">
        <is>
          <t>ETF</t>
        </is>
      </c>
      <c r="N83" s="4">
        <f>J83*E83</f>
        <v/>
      </c>
      <c r="O83" s="8">
        <f>N83-G83</f>
        <v/>
      </c>
    </row>
    <row r="84">
      <c r="A84" t="inlineStr">
        <is>
          <t>Fidelity Investments - JOINT(Option Trading)</t>
        </is>
      </c>
      <c r="B84" t="inlineStr">
        <is>
          <t>SPAXX</t>
        </is>
      </c>
      <c r="C84" t="inlineStr">
        <is>
          <t>HELD IN MONEY MARKET</t>
        </is>
      </c>
      <c r="D84" t="n">
        <v>1</v>
      </c>
      <c r="E84" t="n">
        <v>12.18</v>
      </c>
      <c r="F84" t="n">
        <v>0</v>
      </c>
      <c r="G84" t="n">
        <v>12.18</v>
      </c>
      <c r="H84" t="n">
        <v>12.18</v>
      </c>
      <c r="I84" s="3" t="n">
        <v>0</v>
      </c>
      <c r="J84" s="4" t="n">
        <v>1</v>
      </c>
      <c r="K84" s="5" t="n">
        <v>3.63</v>
      </c>
      <c r="L84" s="6" t="inlineStr">
        <is>
          <t>2026-06-11 11:43:19</t>
        </is>
      </c>
      <c r="M84" s="11" t="inlineStr">
        <is>
          <t>Cash</t>
        </is>
      </c>
      <c r="N84" s="4">
        <f>H84</f>
        <v/>
      </c>
      <c r="O84" s="8">
        <f>N84-G84</f>
        <v/>
      </c>
    </row>
    <row r="85">
      <c r="A85" t="inlineStr">
        <is>
          <t>Robinhood Crypto</t>
        </is>
      </c>
      <c r="B85" t="inlineStr">
        <is>
          <t>ETH</t>
        </is>
      </c>
      <c r="C85" t="inlineStr">
        <is>
          <t>Ethereum</t>
        </is>
      </c>
      <c r="D85" t="n">
        <v>2392.5</v>
      </c>
      <c r="E85" t="n">
        <v>0.012</v>
      </c>
      <c r="F85" t="n">
        <v>0</v>
      </c>
      <c r="G85" t="n">
        <v>28.71</v>
      </c>
      <c r="H85" t="n">
        <v>28.71</v>
      </c>
      <c r="I85" s="3" t="n">
        <v>0</v>
      </c>
      <c r="J85" s="4" t="n">
        <v>1</v>
      </c>
      <c r="K85" s="5" t="n">
        <v>3.63</v>
      </c>
      <c r="L85" s="6" t="inlineStr">
        <is>
          <t>2026-06-11 11:43:19</t>
        </is>
      </c>
      <c r="M85" s="13" t="inlineStr">
        <is>
          <t>Crypto</t>
        </is>
      </c>
      <c r="N85" s="4">
        <f>H85</f>
        <v/>
      </c>
      <c r="O85" s="8">
        <f>N85-G85</f>
        <v/>
      </c>
    </row>
    <row r="86">
      <c r="A86" t="inlineStr">
        <is>
          <t>Robinhood Crypto</t>
        </is>
      </c>
      <c r="B86" t="inlineStr">
        <is>
          <t>USDC</t>
        </is>
      </c>
      <c r="C86" t="inlineStr">
        <is>
          <t>USD Coin Token Balance</t>
        </is>
      </c>
      <c r="D86" t="n">
        <v>1</v>
      </c>
      <c r="E86" t="n">
        <v>1</v>
      </c>
      <c r="F86" t="n">
        <v>0</v>
      </c>
      <c r="G86" t="n">
        <v>1</v>
      </c>
      <c r="H86" t="n">
        <v>1</v>
      </c>
      <c r="I86" s="3" t="n">
        <v>0</v>
      </c>
      <c r="J86" s="4" t="n">
        <v>1</v>
      </c>
      <c r="K86" s="5" t="n">
        <v>3.63</v>
      </c>
      <c r="L86" s="6" t="inlineStr">
        <is>
          <t>2026-06-11 11:43:19</t>
        </is>
      </c>
      <c r="M86" s="11" t="inlineStr">
        <is>
          <t>Cash</t>
        </is>
      </c>
      <c r="N86" s="4">
        <f>H86</f>
        <v/>
      </c>
      <c r="O86" s="8">
        <f>N86-G86</f>
        <v/>
      </c>
    </row>
    <row r="87">
      <c r="A87" t="inlineStr">
        <is>
          <t>Fidelity Investments - Trust: Under Agreement</t>
        </is>
      </c>
      <c r="B87" t="inlineStr">
        <is>
          <t>FDRXX</t>
        </is>
      </c>
      <c r="C87" t="inlineStr">
        <is>
          <t>FID GOV CSH RSRV</t>
        </is>
      </c>
      <c r="D87" t="n">
        <v>1</v>
      </c>
      <c r="E87" t="n">
        <v>0.38</v>
      </c>
      <c r="F87" t="n">
        <v>0</v>
      </c>
      <c r="G87" t="n">
        <v>0.38</v>
      </c>
      <c r="H87" t="n">
        <v>0.38</v>
      </c>
      <c r="I87" s="3" t="n">
        <v>0</v>
      </c>
      <c r="J87" s="4" t="n">
        <v>1</v>
      </c>
      <c r="K87" s="5" t="n">
        <v>3.63</v>
      </c>
      <c r="L87" s="6" t="inlineStr">
        <is>
          <t>2026-06-11 11:43:19</t>
        </is>
      </c>
      <c r="M87" s="11" t="inlineStr">
        <is>
          <t>Cash</t>
        </is>
      </c>
      <c r="N87" s="4">
        <f>H87</f>
        <v/>
      </c>
      <c r="O87" s="8">
        <f>N87-G87</f>
        <v/>
      </c>
    </row>
    <row r="88">
      <c r="A88" t="inlineStr">
        <is>
          <t>Fidelity Investments - Trust: Under Agreement</t>
        </is>
      </c>
      <c r="B88" t="inlineStr">
        <is>
          <t>FCASH</t>
        </is>
      </c>
      <c r="C88" t="inlineStr">
        <is>
          <t>HELD IN FCASH</t>
        </is>
      </c>
      <c r="D88" t="n">
        <v>1</v>
      </c>
      <c r="E88" t="n">
        <v>0.38</v>
      </c>
      <c r="F88" t="n">
        <v>0</v>
      </c>
      <c r="G88" t="n">
        <v>0.38</v>
      </c>
      <c r="H88" t="n">
        <v>0.38</v>
      </c>
      <c r="I88" s="3" t="n">
        <v>0</v>
      </c>
      <c r="J88" s="4" t="n">
        <v>1</v>
      </c>
      <c r="K88" s="5" t="n">
        <v>3.63</v>
      </c>
      <c r="L88" s="6" t="inlineStr">
        <is>
          <t>2026-06-11 11:43:19</t>
        </is>
      </c>
      <c r="M88" s="11" t="inlineStr">
        <is>
          <t>Cash</t>
        </is>
      </c>
      <c r="N88" s="4">
        <f>H88</f>
        <v/>
      </c>
      <c r="O88" s="8">
        <f>N88-G88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2026-06-11T15:43:06Z</dcterms:created>
  <dcterms:modified xsi:type="dcterms:W3CDTF">2026-06-11T15:43:19Z</dcterms:modified>
</cp:coreProperties>
</file>